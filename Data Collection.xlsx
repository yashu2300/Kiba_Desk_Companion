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n\Downloads\"/>
    </mc:Choice>
  </mc:AlternateContent>
  <xr:revisionPtr revIDLastSave="0" documentId="13_ncr:1_{10E0ABEF-B8C1-4923-B557-79322FE85AB0}" xr6:coauthVersionLast="47" xr6:coauthVersionMax="47" xr10:uidLastSave="{00000000-0000-0000-0000-000000000000}"/>
  <bookViews>
    <workbookView xWindow="21120" yWindow="-16320" windowWidth="29040" windowHeight="15720" activeTab="6" xr2:uid="{00000000-000D-0000-FFFF-FFFF00000000}"/>
  </bookViews>
  <sheets>
    <sheet name="Battery Sessions" sheetId="1" r:id="rId1"/>
    <sheet name="Straight Walk" sheetId="2" r:id="rId2"/>
    <sheet name="Turning Accuracy" sheetId="3" r:id="rId3"/>
    <sheet name="Payload Capacity" sheetId="4" r:id="rId4"/>
    <sheet name="Line Following" sheetId="5" r:id="rId5"/>
    <sheet name="Desk Companion" sheetId="6" r:id="rId6"/>
    <sheet name="Reliability Lo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K32" i="1"/>
  <c r="G32" i="1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H24" i="7" s="1"/>
  <c r="E26" i="7"/>
  <c r="B26" i="7"/>
  <c r="K24" i="7"/>
  <c r="E24" i="7"/>
  <c r="B24" i="7"/>
  <c r="E26" i="6"/>
  <c r="B26" i="6"/>
  <c r="K24" i="6"/>
  <c r="H24" i="6"/>
  <c r="E24" i="6"/>
  <c r="B24" i="6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E26" i="5"/>
  <c r="B26" i="5"/>
  <c r="K24" i="5"/>
  <c r="H24" i="5"/>
  <c r="E24" i="5"/>
  <c r="B24" i="5"/>
  <c r="O55" i="4"/>
  <c r="H55" i="4"/>
  <c r="O54" i="4"/>
  <c r="H54" i="4"/>
  <c r="O53" i="4"/>
  <c r="H53" i="4"/>
  <c r="O52" i="4"/>
  <c r="H52" i="4"/>
  <c r="O51" i="4"/>
  <c r="H51" i="4"/>
  <c r="O50" i="4"/>
  <c r="H50" i="4"/>
  <c r="O49" i="4"/>
  <c r="H49" i="4"/>
  <c r="O48" i="4"/>
  <c r="H48" i="4"/>
  <c r="O47" i="4"/>
  <c r="H47" i="4"/>
  <c r="O46" i="4"/>
  <c r="H46" i="4"/>
  <c r="O45" i="4"/>
  <c r="H45" i="4"/>
  <c r="O44" i="4"/>
  <c r="H44" i="4"/>
  <c r="O43" i="4"/>
  <c r="H43" i="4"/>
  <c r="O42" i="4"/>
  <c r="H42" i="4"/>
  <c r="O41" i="4"/>
  <c r="H41" i="4"/>
  <c r="O40" i="4"/>
  <c r="H40" i="4"/>
  <c r="O39" i="4"/>
  <c r="H39" i="4"/>
  <c r="O38" i="4"/>
  <c r="H38" i="4"/>
  <c r="O37" i="4"/>
  <c r="H37" i="4"/>
  <c r="O36" i="4"/>
  <c r="H36" i="4"/>
  <c r="O35" i="4"/>
  <c r="H35" i="4"/>
  <c r="O34" i="4"/>
  <c r="H24" i="4" s="1"/>
  <c r="H34" i="4"/>
  <c r="O33" i="4"/>
  <c r="H33" i="4"/>
  <c r="O32" i="4"/>
  <c r="H32" i="4"/>
  <c r="O31" i="4"/>
  <c r="H31" i="4"/>
  <c r="B26" i="4" s="1"/>
  <c r="E26" i="4"/>
  <c r="K24" i="4"/>
  <c r="E24" i="4"/>
  <c r="B24" i="4"/>
  <c r="G54" i="3"/>
  <c r="F54" i="3"/>
  <c r="G53" i="3"/>
  <c r="F53" i="3"/>
  <c r="F52" i="3"/>
  <c r="G52" i="3" s="1"/>
  <c r="F51" i="3"/>
  <c r="G51" i="3" s="1"/>
  <c r="G50" i="3"/>
  <c r="F50" i="3"/>
  <c r="G49" i="3"/>
  <c r="F49" i="3"/>
  <c r="F48" i="3"/>
  <c r="G48" i="3" s="1"/>
  <c r="G47" i="3"/>
  <c r="F47" i="3"/>
  <c r="G46" i="3"/>
  <c r="F46" i="3"/>
  <c r="G45" i="3"/>
  <c r="F45" i="3"/>
  <c r="F44" i="3"/>
  <c r="G44" i="3" s="1"/>
  <c r="G43" i="3"/>
  <c r="F43" i="3"/>
  <c r="G42" i="3"/>
  <c r="F42" i="3"/>
  <c r="G41" i="3"/>
  <c r="F41" i="3"/>
  <c r="F40" i="3"/>
  <c r="G40" i="3" s="1"/>
  <c r="G39" i="3"/>
  <c r="F39" i="3"/>
  <c r="G38" i="3"/>
  <c r="F38" i="3"/>
  <c r="G37" i="3"/>
  <c r="F37" i="3"/>
  <c r="F36" i="3"/>
  <c r="G36" i="3" s="1"/>
  <c r="G35" i="3"/>
  <c r="F35" i="3"/>
  <c r="G34" i="3"/>
  <c r="F34" i="3"/>
  <c r="G33" i="3"/>
  <c r="F33" i="3"/>
  <c r="F32" i="3"/>
  <c r="G32" i="3" s="1"/>
  <c r="G31" i="3"/>
  <c r="F31" i="3"/>
  <c r="H24" i="3" s="1"/>
  <c r="E26" i="3"/>
  <c r="B26" i="3"/>
  <c r="K24" i="3"/>
  <c r="J50" i="2"/>
  <c r="H50" i="2"/>
  <c r="F50" i="2"/>
  <c r="J49" i="2"/>
  <c r="H49" i="2"/>
  <c r="F49" i="2"/>
  <c r="J48" i="2"/>
  <c r="H48" i="2"/>
  <c r="F48" i="2"/>
  <c r="J47" i="2"/>
  <c r="H47" i="2"/>
  <c r="F47" i="2"/>
  <c r="J46" i="2"/>
  <c r="H46" i="2"/>
  <c r="F46" i="2"/>
  <c r="J45" i="2"/>
  <c r="H45" i="2"/>
  <c r="F45" i="2"/>
  <c r="J44" i="2"/>
  <c r="H44" i="2"/>
  <c r="F44" i="2"/>
  <c r="J43" i="2"/>
  <c r="H43" i="2"/>
  <c r="F43" i="2"/>
  <c r="J42" i="2"/>
  <c r="H42" i="2"/>
  <c r="F42" i="2"/>
  <c r="J41" i="2"/>
  <c r="H41" i="2"/>
  <c r="F41" i="2"/>
  <c r="J40" i="2"/>
  <c r="H40" i="2"/>
  <c r="F40" i="2"/>
  <c r="J39" i="2"/>
  <c r="H39" i="2"/>
  <c r="F39" i="2"/>
  <c r="J38" i="2"/>
  <c r="H38" i="2"/>
  <c r="F38" i="2"/>
  <c r="J37" i="2"/>
  <c r="H37" i="2"/>
  <c r="F37" i="2"/>
  <c r="J36" i="2"/>
  <c r="H36" i="2"/>
  <c r="F36" i="2"/>
  <c r="J35" i="2"/>
  <c r="H35" i="2"/>
  <c r="F35" i="2"/>
  <c r="J34" i="2"/>
  <c r="H34" i="2"/>
  <c r="F34" i="2"/>
  <c r="J33" i="2"/>
  <c r="H33" i="2"/>
  <c r="F33" i="2"/>
  <c r="J32" i="2"/>
  <c r="H32" i="2"/>
  <c r="F32" i="2"/>
  <c r="J31" i="2"/>
  <c r="B26" i="2" s="1"/>
  <c r="H31" i="2"/>
  <c r="K24" i="2" s="1"/>
  <c r="F31" i="2"/>
  <c r="E24" i="2" s="1"/>
  <c r="E26" i="2"/>
  <c r="H24" i="2"/>
  <c r="N70" i="1"/>
  <c r="K70" i="1"/>
  <c r="J70" i="1"/>
  <c r="G70" i="1"/>
  <c r="N69" i="1"/>
  <c r="K69" i="1"/>
  <c r="J69" i="1"/>
  <c r="G69" i="1"/>
  <c r="N68" i="1"/>
  <c r="K68" i="1"/>
  <c r="J68" i="1"/>
  <c r="G68" i="1"/>
  <c r="N67" i="1"/>
  <c r="K67" i="1"/>
  <c r="J67" i="1"/>
  <c r="G67" i="1"/>
  <c r="N66" i="1"/>
  <c r="K66" i="1"/>
  <c r="J66" i="1"/>
  <c r="G66" i="1"/>
  <c r="N65" i="1"/>
  <c r="K65" i="1"/>
  <c r="J65" i="1"/>
  <c r="G65" i="1"/>
  <c r="N64" i="1"/>
  <c r="K64" i="1"/>
  <c r="J64" i="1"/>
  <c r="G64" i="1"/>
  <c r="N63" i="1"/>
  <c r="K63" i="1"/>
  <c r="J63" i="1"/>
  <c r="G63" i="1"/>
  <c r="N62" i="1"/>
  <c r="K62" i="1"/>
  <c r="J62" i="1"/>
  <c r="G62" i="1"/>
  <c r="N61" i="1"/>
  <c r="K61" i="1"/>
  <c r="J61" i="1"/>
  <c r="G61" i="1"/>
  <c r="N60" i="1"/>
  <c r="K60" i="1"/>
  <c r="J60" i="1"/>
  <c r="G60" i="1"/>
  <c r="N59" i="1"/>
  <c r="K59" i="1"/>
  <c r="J59" i="1"/>
  <c r="G59" i="1"/>
  <c r="N58" i="1"/>
  <c r="K58" i="1"/>
  <c r="J58" i="1"/>
  <c r="G58" i="1"/>
  <c r="N57" i="1"/>
  <c r="K57" i="1"/>
  <c r="J57" i="1"/>
  <c r="G57" i="1"/>
  <c r="N56" i="1"/>
  <c r="K56" i="1"/>
  <c r="J56" i="1"/>
  <c r="G56" i="1"/>
  <c r="N55" i="1"/>
  <c r="K55" i="1"/>
  <c r="J55" i="1"/>
  <c r="G55" i="1"/>
  <c r="N54" i="1"/>
  <c r="K54" i="1"/>
  <c r="J54" i="1"/>
  <c r="G54" i="1"/>
  <c r="N53" i="1"/>
  <c r="K53" i="1"/>
  <c r="J53" i="1"/>
  <c r="G53" i="1"/>
  <c r="N52" i="1"/>
  <c r="K52" i="1"/>
  <c r="J52" i="1"/>
  <c r="G52" i="1"/>
  <c r="N51" i="1"/>
  <c r="K51" i="1"/>
  <c r="J51" i="1"/>
  <c r="G51" i="1"/>
  <c r="N50" i="1"/>
  <c r="K50" i="1"/>
  <c r="J50" i="1"/>
  <c r="G50" i="1"/>
  <c r="N49" i="1"/>
  <c r="K49" i="1"/>
  <c r="J49" i="1"/>
  <c r="G49" i="1"/>
  <c r="N48" i="1"/>
  <c r="K48" i="1"/>
  <c r="J48" i="1"/>
  <c r="G48" i="1"/>
  <c r="N47" i="1"/>
  <c r="K47" i="1"/>
  <c r="J47" i="1"/>
  <c r="G47" i="1"/>
  <c r="N46" i="1"/>
  <c r="K46" i="1"/>
  <c r="J46" i="1"/>
  <c r="G46" i="1"/>
  <c r="N45" i="1"/>
  <c r="K45" i="1"/>
  <c r="J45" i="1"/>
  <c r="G45" i="1"/>
  <c r="N44" i="1"/>
  <c r="K44" i="1"/>
  <c r="J44" i="1"/>
  <c r="G44" i="1"/>
  <c r="N43" i="1"/>
  <c r="K43" i="1"/>
  <c r="J43" i="1"/>
  <c r="G43" i="1"/>
  <c r="N42" i="1"/>
  <c r="K42" i="1"/>
  <c r="J42" i="1"/>
  <c r="G42" i="1"/>
  <c r="N41" i="1"/>
  <c r="K41" i="1"/>
  <c r="J41" i="1"/>
  <c r="G41" i="1"/>
  <c r="N40" i="1"/>
  <c r="K40" i="1"/>
  <c r="J40" i="1"/>
  <c r="G40" i="1"/>
  <c r="N39" i="1"/>
  <c r="J39" i="1"/>
  <c r="G39" i="1"/>
  <c r="K39" i="1" s="1"/>
  <c r="N38" i="1"/>
  <c r="J38" i="1"/>
  <c r="G38" i="1"/>
  <c r="K38" i="1" s="1"/>
  <c r="N37" i="1"/>
  <c r="J37" i="1"/>
  <c r="G37" i="1"/>
  <c r="K37" i="1" s="1"/>
  <c r="N36" i="1"/>
  <c r="J36" i="1"/>
  <c r="G36" i="1"/>
  <c r="K36" i="1" s="1"/>
  <c r="N35" i="1"/>
  <c r="J35" i="1"/>
  <c r="G35" i="1"/>
  <c r="K35" i="1" s="1"/>
  <c r="N34" i="1"/>
  <c r="J34" i="1"/>
  <c r="G34" i="1"/>
  <c r="K34" i="1" s="1"/>
  <c r="N33" i="1"/>
  <c r="J33" i="1"/>
  <c r="G33" i="1"/>
  <c r="K33" i="1" s="1"/>
  <c r="N31" i="1"/>
  <c r="J31" i="1"/>
  <c r="G31" i="1"/>
  <c r="K31" i="1" s="1"/>
  <c r="E24" i="1"/>
  <c r="K24" i="1" l="1"/>
  <c r="H24" i="1"/>
  <c r="B24" i="1"/>
  <c r="E24" i="3"/>
  <c r="B24" i="3"/>
  <c r="B26" i="1"/>
  <c r="B24" i="2"/>
  <c r="E26" i="1"/>
</calcChain>
</file>

<file path=xl/sharedStrings.xml><?xml version="1.0" encoding="utf-8"?>
<sst xmlns="http://schemas.openxmlformats.org/spreadsheetml/2006/main" count="630" uniqueCount="484">
  <si>
    <t>Battery and Operational Session Test</t>
  </si>
  <si>
    <t>Standalone experiment sheet. Yellow cells are editable conditions. Blue cells contain local calculations.</t>
  </si>
  <si>
    <t>Experiment definition</t>
  </si>
  <si>
    <t>Purpose</t>
  </si>
  <si>
    <t>Measure battery-state change during development, testing, demonstration, standby and controlled workloads. The log supports operational-runtime and reliability claims, not battery-capacity certification.</t>
  </si>
  <si>
    <t>Research question</t>
  </si>
  <si>
    <t>How quickly does the Petoi Bittle X V2 battery state decrease under the tested operational workloads?</t>
  </si>
  <si>
    <t>Primary outcomes</t>
  </si>
  <si>
    <t>Battery change in percentage points, normalized depletion rate, voltage change when available, motion duty cycle and observed brownouts or failures.</t>
  </si>
  <si>
    <t>Safety and validity</t>
  </si>
  <si>
    <t>Use the normal charger and safe operating limits. Stop if the battery is damaged, swollen, unusually hot or repeatedly causes brownouts. Do not deliberately deep-discharge the battery.</t>
  </si>
  <si>
    <t>Test conditions</t>
  </si>
  <si>
    <t>Robot ID</t>
  </si>
  <si>
    <t>Bittle X V2 (confirm ID)</t>
  </si>
  <si>
    <t>Hardware revision</t>
  </si>
  <si>
    <t>BiBoard v1.0 (confirm)</t>
  </si>
  <si>
    <t>Firmware version</t>
  </si>
  <si>
    <t>Battery ID/capacity</t>
  </si>
  <si>
    <t>Battery reading method</t>
  </si>
  <si>
    <t>Controlled workload</t>
  </si>
  <si>
    <t>Location/temperature</t>
  </si>
  <si>
    <t>Payload configuration</t>
  </si>
  <si>
    <t>No added payload unless recorded</t>
  </si>
  <si>
    <t>Operator</t>
  </si>
  <si>
    <t>Procedure</t>
  </si>
  <si>
    <t>Measure session duration and approximate active-motion time. Keep the robot powered continuously during the recorded interval.</t>
  </si>
  <si>
    <t>Take the final battery reading immediately after the session and before charging. Use the same reading method as the starting measurement.</t>
  </si>
  <si>
    <t>Record brownouts, disconnections, abnormal heat and other failures. Compare categories only when their workloads and measurement conditions are sufficiently consistent.</t>
  </si>
  <si>
    <t>Results summary</t>
  </si>
  <si>
    <t>Recorded sessions</t>
  </si>
  <si>
    <t>Total duration (h)</t>
  </si>
  <si>
    <t>Mean depletion (pp/h)</t>
  </si>
  <si>
    <t>Mean motion duty cycle</t>
  </si>
  <si>
    <t>Data entry guide
Yellow: test conditions to confirm or edit
Blue: calculated values
Blank measurement cells: enter observed data
Use Invalid for trials excluded from analysis and explain why in Notes.</t>
  </si>
  <si>
    <t>Minimum depletion (pp/h)</t>
  </si>
  <si>
    <t>Maximum depletion (pp/h)</t>
  </si>
  <si>
    <t>Observation log</t>
  </si>
  <si>
    <t>Session ID</t>
  </si>
  <si>
    <t>Date</t>
  </si>
  <si>
    <t>Session category</t>
  </si>
  <si>
    <t>Workload and activity</t>
  </si>
  <si>
    <t>Start battery (%)</t>
  </si>
  <si>
    <t>End battery (%)</t>
  </si>
  <si>
    <t>Battery change (pp)</t>
  </si>
  <si>
    <t>Duration (min)</t>
  </si>
  <si>
    <t>Motion time (min)</t>
  </si>
  <si>
    <t>Motion duty cycle</t>
  </si>
  <si>
    <t>Depletion rate (pp/h)</t>
  </si>
  <si>
    <t>Start voltage (V)</t>
  </si>
  <si>
    <t>End voltage (V)</t>
  </si>
  <si>
    <t>Voltage change (V)</t>
  </si>
  <si>
    <t>Issues or failures</t>
  </si>
  <si>
    <t>Firmware/version</t>
  </si>
  <si>
    <t>Notes</t>
  </si>
  <si>
    <t>BAT-001</t>
  </si>
  <si>
    <t>BAT-002</t>
  </si>
  <si>
    <t>BAT-003</t>
  </si>
  <si>
    <t>BAT-004</t>
  </si>
  <si>
    <t>BAT-005</t>
  </si>
  <si>
    <t>BAT-006</t>
  </si>
  <si>
    <t>BAT-007</t>
  </si>
  <si>
    <t>BAT-008</t>
  </si>
  <si>
    <t>BAT-009</t>
  </si>
  <si>
    <t>BAT-010</t>
  </si>
  <si>
    <t>BAT-011</t>
  </si>
  <si>
    <t>BAT-012</t>
  </si>
  <si>
    <t>BAT-013</t>
  </si>
  <si>
    <t>BAT-014</t>
  </si>
  <si>
    <t>BAT-015</t>
  </si>
  <si>
    <t>BAT-016</t>
  </si>
  <si>
    <t>BAT-017</t>
  </si>
  <si>
    <t>BAT-018</t>
  </si>
  <si>
    <t>BAT-019</t>
  </si>
  <si>
    <t>BAT-020</t>
  </si>
  <si>
    <t>BAT-021</t>
  </si>
  <si>
    <t>BAT-022</t>
  </si>
  <si>
    <t>BAT-023</t>
  </si>
  <si>
    <t>BAT-024</t>
  </si>
  <si>
    <t>BAT-025</t>
  </si>
  <si>
    <t>BAT-026</t>
  </si>
  <si>
    <t>BAT-027</t>
  </si>
  <si>
    <t>BAT-028</t>
  </si>
  <si>
    <t>BAT-029</t>
  </si>
  <si>
    <t>BAT-030</t>
  </si>
  <si>
    <t>BAT-031</t>
  </si>
  <si>
    <t>BAT-032</t>
  </si>
  <si>
    <t>BAT-033</t>
  </si>
  <si>
    <t>BAT-034</t>
  </si>
  <si>
    <t>BAT-035</t>
  </si>
  <si>
    <t>BAT-036</t>
  </si>
  <si>
    <t>BAT-037</t>
  </si>
  <si>
    <t>BAT-038</t>
  </si>
  <si>
    <t>BAT-039</t>
  </si>
  <si>
    <t>BAT-040</t>
  </si>
  <si>
    <t>Straight-Line Locomotion Accuracy Test</t>
  </si>
  <si>
    <t>Quantify how consistently the robot walks along a nominally straight path under fixed conditions.</t>
  </si>
  <si>
    <t>What lateral and heading error does the Petoi Bittle X V2 produce during repeated straight-line trials?</t>
  </si>
  <si>
    <t>Absolute lateral drift per metre, signed lateral bias, absolute heading error, average speed and completion rate.</t>
  </si>
  <si>
    <t>Use a clear test lane with a soft stopping area. Stop after falls, loose joints, repeated instability or signs of servo strain. Keep observers outside the path.</t>
  </si>
  <si>
    <t>Target distance</t>
  </si>
  <si>
    <t>Surface</t>
  </si>
  <si>
    <t>Gait command</t>
  </si>
  <si>
    <t>Speed setting</t>
  </si>
  <si>
    <t>Battery range</t>
  </si>
  <si>
    <t>Define acceptable start range</t>
  </si>
  <si>
    <t>Start alignment method</t>
  </si>
  <si>
    <t>Floor centreline and fixed start pose</t>
  </si>
  <si>
    <t>Measurement method</t>
  </si>
  <si>
    <t>Calibrated floor grid and fixed video</t>
  </si>
  <si>
    <t>Payload/configuration</t>
  </si>
  <si>
    <t>Mark a straight centreline and target distance. Fix the camera and include a known-length calibration reference in the recorded view.</t>
  </si>
  <si>
    <t>Place the robot in the same start pose and orientation for every run. Record the actual target distance in the observation row.</t>
  </si>
  <si>
    <t>Issue the same gait and speed command. Do not manually correct the robot during a valid trial.</t>
  </si>
  <si>
    <t>Measure signed endpoint lateral deviation and signed final heading error. Use one documented sign convention throughout the experiment.</t>
  </si>
  <si>
    <t>Alternate A-to-B and B-to-A trials to expose surface or alignment bias. Retain failed trials and mark externally interrupted trials as Invalid.</t>
  </si>
  <si>
    <t>Measured runs</t>
  </si>
  <si>
    <t>Mean absolute drift (cm/m)</t>
  </si>
  <si>
    <t>Mean signed deviation (cm)</t>
  </si>
  <si>
    <t>Mean heading error (deg)</t>
  </si>
  <si>
    <t>Mean speed (m/s)</t>
  </si>
  <si>
    <t>Pass rate</t>
  </si>
  <si>
    <t>Run ID</t>
  </si>
  <si>
    <t>Run direction</t>
  </si>
  <si>
    <t>Target distance (m)</t>
  </si>
  <si>
    <t>Lateral deviation (cm, signed)</t>
  </si>
  <si>
    <t>Absolute drift (cm/m)</t>
  </si>
  <si>
    <t>Heading error (deg, signed)</t>
  </si>
  <si>
    <t>Absolute heading error (deg)</t>
  </si>
  <si>
    <t>Time (s)</t>
  </si>
  <si>
    <t>Average speed (m/s)</t>
  </si>
  <si>
    <t>Outcome</t>
  </si>
  <si>
    <t>Footage/file reference</t>
  </si>
  <si>
    <t>STR-001</t>
  </si>
  <si>
    <t>STR-002</t>
  </si>
  <si>
    <t>STR-003</t>
  </si>
  <si>
    <t>STR-004</t>
  </si>
  <si>
    <t>STR-005</t>
  </si>
  <si>
    <t>STR-006</t>
  </si>
  <si>
    <t>STR-007</t>
  </si>
  <si>
    <t>STR-008</t>
  </si>
  <si>
    <t>STR-009</t>
  </si>
  <si>
    <t>STR-010</t>
  </si>
  <si>
    <t>STR-011</t>
  </si>
  <si>
    <t>STR-012</t>
  </si>
  <si>
    <t>STR-013</t>
  </si>
  <si>
    <t>STR-014</t>
  </si>
  <si>
    <t>STR-015</t>
  </si>
  <si>
    <t>STR-016</t>
  </si>
  <si>
    <t>STR-017</t>
  </si>
  <si>
    <t>STR-018</t>
  </si>
  <si>
    <t>STR-019</t>
  </si>
  <si>
    <t>STR-020</t>
  </si>
  <si>
    <t>Turning Accuracy and Repeatability Test</t>
  </si>
  <si>
    <t>Measure turning error and directional bias for repeated nominal-angle turns using a fixed command.</t>
  </si>
  <si>
    <t>How accurately and repeatably does the Petoi Bittle X V2 execute the tested clockwise and anticlockwise turn command?</t>
  </si>
  <si>
    <t>Signed angular error, absolute angular error, clockwise and anticlockwise bias, repeatability and pass rate.</t>
  </si>
  <si>
    <t>Use a level, non-slip area with clearance around the robot. Stop after a fall, mechanical interference, abnormal servo sound or loss of stable posture.</t>
  </si>
  <si>
    <t>Nominal target</t>
  </si>
  <si>
    <t>90 degrees</t>
  </si>
  <si>
    <t>Turn command</t>
  </si>
  <si>
    <t>Record gait plus duration or cycles</t>
  </si>
  <si>
    <t>Starting pose</t>
  </si>
  <si>
    <t>Fixed pose and heading</t>
  </si>
  <si>
    <t>Overhead video with floor angle reference</t>
  </si>
  <si>
    <t>Direction sequence</t>
  </si>
  <si>
    <t>Alternate or randomize CW and CCW</t>
  </si>
  <si>
    <t>Mark the initial heading and target angle on the floor. Fix the measurement camera so its view does not change between trials.</t>
  </si>
  <si>
    <t>Place the robot in the same start pose. Record the exact gait, command duration or number of gait cycles used.</t>
  </si>
  <si>
    <t>Execute one turn without external correction. Measure the magnitude of the actual rotation using the same body reference point.</t>
  </si>
  <si>
    <t>Enter measured angle as a positive magnitude for both directions. The sheet calculates signed error as measured angle minus target angle.</t>
  </si>
  <si>
    <t>Alternate or randomize direction. Retain falls and failed commands; mark only trials affected by external interference as Invalid.</t>
  </si>
  <si>
    <t>Measured turns</t>
  </si>
  <si>
    <t>Mean absolute error (deg)</t>
  </si>
  <si>
    <t>Mean signed error (deg)</t>
  </si>
  <si>
    <t>CW mean signed error</t>
  </si>
  <si>
    <t>CCW mean signed error</t>
  </si>
  <si>
    <t>Direction</t>
  </si>
  <si>
    <t>Target angle (deg)</t>
  </si>
  <si>
    <t>Measured angle (deg)</t>
  </si>
  <si>
    <t>Signed error (deg)</t>
  </si>
  <si>
    <t>Absolute error (deg)</t>
  </si>
  <si>
    <t>Command/gait</t>
  </si>
  <si>
    <t>Command duration (ms)</t>
  </si>
  <si>
    <t>Gait cycles</t>
  </si>
  <si>
    <t>TRN-001</t>
  </si>
  <si>
    <t>TRN-002</t>
  </si>
  <si>
    <t>TRN-003</t>
  </si>
  <si>
    <t>TRN-004</t>
  </si>
  <si>
    <t>TRN-005</t>
  </si>
  <si>
    <t>TRN-006</t>
  </si>
  <si>
    <t>TRN-007</t>
  </si>
  <si>
    <t>TRN-008</t>
  </si>
  <si>
    <t>TRN-009</t>
  </si>
  <si>
    <t>TRN-010</t>
  </si>
  <si>
    <t>TRN-011</t>
  </si>
  <si>
    <t>TRN-012</t>
  </si>
  <si>
    <t>TRN-013</t>
  </si>
  <si>
    <t>TRN-014</t>
  </si>
  <si>
    <t>TRN-015</t>
  </si>
  <si>
    <t>TRN-016</t>
  </si>
  <si>
    <t>TRN-017</t>
  </si>
  <si>
    <t>TRN-018</t>
  </si>
  <si>
    <t>TRN-019</t>
  </si>
  <si>
    <t>TRN-020</t>
  </si>
  <si>
    <t>TRN-021</t>
  </si>
  <si>
    <t>TRN-022</t>
  </si>
  <si>
    <t>TRN-023</t>
  </si>
  <si>
    <t>TRN-024</t>
  </si>
  <si>
    <t>Payload Capacity and Stability Test</t>
  </si>
  <si>
    <t>Estimate the maximum payload that the robot can carry reliably under a defined walking test without destructive loading.</t>
  </si>
  <si>
    <t>What payload can the Petoi Bittle X V2 carry reliably under the specified gait, surface and mounting conditions?</t>
  </si>
  <si>
    <t>Maximum tested payload, maximum passing payload, speed, stability rating, slips, stalls, falls and servo warnings.</t>
  </si>
  <si>
    <t>This is a reliable-payload test, not a destructive maximum-load test. Stop at the first repeated failure, unstable gait, fall, servo warning, overheating or abnormal sound.</t>
  </si>
  <si>
    <t>Baseline robot mass</t>
  </si>
  <si>
    <t>Measure before testing</t>
  </si>
  <si>
    <t>Payload increment</t>
  </si>
  <si>
    <t>Define after pilot</t>
  </si>
  <si>
    <t>1.00 m (confirm after pilot)</t>
  </si>
  <si>
    <t>Gait/speed</t>
  </si>
  <si>
    <t>Mounting method</t>
  </si>
  <si>
    <t>Rigid, centred and repeatable</t>
  </si>
  <si>
    <t>Stopping rule</t>
  </si>
  <si>
    <t>First repeated failure or any safety concern</t>
  </si>
  <si>
    <t>Measure the robot mass and inspect the mounting point. Complete baseline trials with no added payload before adding weight.</t>
  </si>
  <si>
    <t>Attach each payload securely at the documented position. Keep the centre of mass and mounting method consistent between trials.</t>
  </si>
  <si>
    <t>Run at least three trials at each payload level using the same target distance, gait, speed, surface and battery range.</t>
  </si>
  <si>
    <t>Record completed distance, time, stability rating, slips or stalls, falls and any servo warning. Do not omit failed trials.</t>
  </si>
  <si>
    <t>Increase the payload using the predetermined increment. Stop according to the safety rule and report the maximum reliably supported payload under these test conditions.</t>
  </si>
  <si>
    <t>Recorded trials</t>
  </si>
  <si>
    <t>Maximum tested payload (g)</t>
  </si>
  <si>
    <t>Maximum passing payload (g)</t>
  </si>
  <si>
    <t>Mean stability rating</t>
  </si>
  <si>
    <t>Payload mass (g)</t>
  </si>
  <si>
    <t>Mounting position</t>
  </si>
  <si>
    <t>Completed distance (m)</t>
  </si>
  <si>
    <t>Stability rating (1-5)</t>
  </si>
  <si>
    <t>Slips/stalls</t>
  </si>
  <si>
    <t>Falls</t>
  </si>
  <si>
    <t>Servo warning</t>
  </si>
  <si>
    <t>Passed payload (g)</t>
  </si>
  <si>
    <t>PAY-001</t>
  </si>
  <si>
    <t>PAY-002</t>
  </si>
  <si>
    <t>PAY-003</t>
  </si>
  <si>
    <t>PAY-004</t>
  </si>
  <si>
    <t>PAY-005</t>
  </si>
  <si>
    <t>PAY-006</t>
  </si>
  <si>
    <t>PAY-007</t>
  </si>
  <si>
    <t>PAY-008</t>
  </si>
  <si>
    <t>PAY-009</t>
  </si>
  <si>
    <t>PAY-010</t>
  </si>
  <si>
    <t>PAY-011</t>
  </si>
  <si>
    <t>PAY-012</t>
  </si>
  <si>
    <t>PAY-013</t>
  </si>
  <si>
    <t>PAY-014</t>
  </si>
  <si>
    <t>PAY-015</t>
  </si>
  <si>
    <t>PAY-016</t>
  </si>
  <si>
    <t>PAY-017</t>
  </si>
  <si>
    <t>PAY-018</t>
  </si>
  <si>
    <t>PAY-019</t>
  </si>
  <si>
    <t>PAY-020</t>
  </si>
  <si>
    <t>PAY-021</t>
  </si>
  <si>
    <t>PAY-022</t>
  </si>
  <si>
    <t>PAY-023</t>
  </si>
  <si>
    <t>PAY-024</t>
  </si>
  <si>
    <t>PAY-025</t>
  </si>
  <si>
    <t>Line-Following Exemplar Performance Test</t>
  </si>
  <si>
    <t>Evaluate whether the custom four-sensor line follower completes a fixed track consistently and handles straight sections, recovery events and 90-degree turns.</t>
  </si>
  <si>
    <t>How reliably does the Petoi line-following exemplar complete the defined track without manual intervention?</t>
  </si>
  <si>
    <t>Track completion rate, elapsed time, line-loss events, successful recoveries, manual interventions and 90-degree turn success rate.</t>
  </si>
  <si>
    <t>Secure sensor wiring and provide clearance around the course. Stop after a fall, tangled cable, loose sensor mount or repeated unstable turning.</t>
  </si>
  <si>
    <t>Track ID/version</t>
  </si>
  <si>
    <t>Photograph and dimension the fixed track</t>
  </si>
  <si>
    <t>Line/surface</t>
  </si>
  <si>
    <t>Record line width, colour and surface</t>
  </si>
  <si>
    <t>Sensor arrangement</t>
  </si>
  <si>
    <t>Four IR sensors; record spacing and height</t>
  </si>
  <si>
    <t>Controller version</t>
  </si>
  <si>
    <t>Record code commit or filename</t>
  </si>
  <si>
    <t>Sensor calibration</t>
  </si>
  <si>
    <t>Record thresholds before testing</t>
  </si>
  <si>
    <t>Restart rule</t>
  </si>
  <si>
    <t>Define treatment of line loss and intervention</t>
  </si>
  <si>
    <t>Fix the track layout and record its dimensions, line width, surface, number of 90-degree turns and a photograph or diagram.</t>
  </si>
  <si>
    <t>Calibrate the four sensors using the same procedure before the test set. Record sensor spacing, height, thresholds and controller version.</t>
  </si>
  <si>
    <t>Place the robot at the same start position. Begin timing when the movement command starts and stop when the robot reaches the finish or meets the failure rule.</t>
  </si>
  <si>
    <t>Record every line-loss event, autonomous recovery, manual intervention and attempted 90-degree turn. Retain incomplete runs.</t>
  </si>
  <si>
    <t>Repeat the same test at least ten times. If controller parameters change, record a new controller version and do not silently pool the two configurations.</t>
  </si>
  <si>
    <t>Classified runs</t>
  </si>
  <si>
    <t>Completion rate</t>
  </si>
  <si>
    <t>Mean elapsed time (s)</t>
  </si>
  <si>
    <t>Overall turn success</t>
  </si>
  <si>
    <t>Mean line-loss events</t>
  </si>
  <si>
    <t>Elapsed time (s)</t>
  </si>
  <si>
    <t>Track completed</t>
  </si>
  <si>
    <t>Line-loss events</t>
  </si>
  <si>
    <t>Successful recoveries</t>
  </si>
  <si>
    <t>Manual interventions</t>
  </si>
  <si>
    <t>90-degree turns attempted</t>
  </si>
  <si>
    <t>90-degree turns completed</t>
  </si>
  <si>
    <t>Turn success rate</t>
  </si>
  <si>
    <t>Notes/video reference</t>
  </si>
  <si>
    <t>LIN-001</t>
  </si>
  <si>
    <t>LIN-002</t>
  </si>
  <si>
    <t>LIN-003</t>
  </si>
  <si>
    <t>LIN-004</t>
  </si>
  <si>
    <t>LIN-005</t>
  </si>
  <si>
    <t>LIN-006</t>
  </si>
  <si>
    <t>LIN-007</t>
  </si>
  <si>
    <t>LIN-008</t>
  </si>
  <si>
    <t>LIN-009</t>
  </si>
  <si>
    <t>LIN-010</t>
  </si>
  <si>
    <t>LIN-011</t>
  </si>
  <si>
    <t>LIN-012</t>
  </si>
  <si>
    <t>LIN-013</t>
  </si>
  <si>
    <t>LIN-014</t>
  </si>
  <si>
    <t>LIN-015</t>
  </si>
  <si>
    <t>LIN-016</t>
  </si>
  <si>
    <t>LIN-017</t>
  </si>
  <si>
    <t>LIN-018</t>
  </si>
  <si>
    <t>LIN-019</t>
  </si>
  <si>
    <t>LIN-020</t>
  </si>
  <si>
    <t>Desk-Companion Scenario Validation</t>
  </si>
  <si>
    <t>Validate the desk companion as a technical HRI exemplar using repeatable functional and fault-recovery scenarios.</t>
  </si>
  <si>
    <t>Does the integrated desk companion execute its defined perception, inactivity, communication and Petoi-action scenarios reliably enough to support HRI prototyping?</t>
  </si>
  <si>
    <t>Scenario pass rate, response latency, false triggers, crashes, recovery time and failure descriptions.</t>
  </si>
  <si>
    <t>Do not recruit or record other participants without the required ethics approval and consent. For this technical validation, use scripted scenarios and avoid claims about behavioural or wellbeing effects.</t>
  </si>
  <si>
    <t>Application version</t>
  </si>
  <si>
    <t>Record Git commit or release</t>
  </si>
  <si>
    <t>Camera/input source</t>
  </si>
  <si>
    <t>Webcam or XIAO ESP32S3 Sense</t>
  </si>
  <si>
    <t>Computer/environment</t>
  </si>
  <si>
    <t>Record OS, conda environment and key versions</t>
  </si>
  <si>
    <t>Network configuration</t>
  </si>
  <si>
    <t>Scenario suite version</t>
  </si>
  <si>
    <t>Freeze before final repetitions</t>
  </si>
  <si>
    <t>Latency method</t>
  </si>
  <si>
    <t>Use application timestamps or synchronized video</t>
  </si>
  <si>
    <t>Define each scenario's preconditions, trigger, expected behaviour, timeout and pass/fail rule before running the final test set.</t>
  </si>
  <si>
    <t>Include normal flows and fault conditions: owner/presence recognition, inactivity, nudge generation, LLM response, Petoi action, camera loss and serial reconnection.</t>
  </si>
  <si>
    <t>Reset the application to the documented initial state before each independent scenario. Record all software and firmware versions.</t>
  </si>
  <si>
    <t>Execute the trigger and record observed behaviour, latency, false triggers, crashes and recovery time. Preserve logs or video references.</t>
  </si>
  <si>
    <t>Repeat core scenarios enough times to assess consistency. Treat the results as technical feasibility evidence, not evidence that robot nudges improve human behaviour.</t>
  </si>
  <si>
    <t>Classified tests</t>
  </si>
  <si>
    <t>Mean latency (ms)</t>
  </si>
  <si>
    <t>Mean recovery time (s)</t>
  </si>
  <si>
    <t>False triggers</t>
  </si>
  <si>
    <t>Crashes or hangs</t>
  </si>
  <si>
    <t>Test ID</t>
  </si>
  <si>
    <t>Scenario type</t>
  </si>
  <si>
    <t>Scenario ID/version</t>
  </si>
  <si>
    <t>Preconditions</t>
  </si>
  <si>
    <t>Expected behaviour</t>
  </si>
  <si>
    <t>Observed behaviour</t>
  </si>
  <si>
    <t>Response latency (ms)</t>
  </si>
  <si>
    <t>False trigger</t>
  </si>
  <si>
    <t>Crash/hang</t>
  </si>
  <si>
    <t>Recovery time (s)</t>
  </si>
  <si>
    <t>Petoi connected</t>
  </si>
  <si>
    <t>Software/firmware version</t>
  </si>
  <si>
    <t>Log/file reference</t>
  </si>
  <si>
    <t>DSK-001</t>
  </si>
  <si>
    <t>DSK-002</t>
  </si>
  <si>
    <t>DSK-003</t>
  </si>
  <si>
    <t>DSK-004</t>
  </si>
  <si>
    <t>DSK-005</t>
  </si>
  <si>
    <t>DSK-006</t>
  </si>
  <si>
    <t>DSK-007</t>
  </si>
  <si>
    <t>DSK-008</t>
  </si>
  <si>
    <t>DSK-009</t>
  </si>
  <si>
    <t>DSK-010</t>
  </si>
  <si>
    <t>DSK-011</t>
  </si>
  <si>
    <t>DSK-012</t>
  </si>
  <si>
    <t>DSK-013</t>
  </si>
  <si>
    <t>DSK-014</t>
  </si>
  <si>
    <t>DSK-015</t>
  </si>
  <si>
    <t>DSK-016</t>
  </si>
  <si>
    <t>DSK-017</t>
  </si>
  <si>
    <t>DSK-018</t>
  </si>
  <si>
    <t>DSK-019</t>
  </si>
  <si>
    <t>DSK-020</t>
  </si>
  <si>
    <t>DSK-021</t>
  </si>
  <si>
    <t>DSK-022</t>
  </si>
  <si>
    <t>DSK-023</t>
  </si>
  <si>
    <t>DSK-024</t>
  </si>
  <si>
    <t>DSK-025</t>
  </si>
  <si>
    <t>DSK-026</t>
  </si>
  <si>
    <t>DSK-027</t>
  </si>
  <si>
    <t>DSK-028</t>
  </si>
  <si>
    <t>DSK-029</t>
  </si>
  <si>
    <t>DSK-030</t>
  </si>
  <si>
    <t>Operational Reliability Session Log</t>
  </si>
  <si>
    <t>Quantify failures and recovery burden during ordinary Petoi development, testing, demonstration, standby and controlled sessions.</t>
  </si>
  <si>
    <t>How often do hardware, communication, motion, sensing and application failures occur during use, and how much operating time do they consume?</t>
  </si>
  <si>
    <t>Total operating hours, incident count, incidents per operating hour, downtime, clean-session proportion and aborted sessions.</t>
  </si>
  <si>
    <t>Record failures as they occur. Stop the session after electrical damage, battery concerns, servo overheating, uncontrolled motion or any condition that could damage equipment or injure an operator.</t>
  </si>
  <si>
    <t>Logging rule</t>
  </si>
  <si>
    <t>One row per operating session</t>
  </si>
  <si>
    <t>Incident definition</t>
  </si>
  <si>
    <t>Unexpected event requiring retry, workaround or recovery</t>
  </si>
  <si>
    <t>Downtime definition</t>
  </si>
  <si>
    <t>Minutes unavailable due to incidents</t>
  </si>
  <si>
    <t>Session start/end rule</t>
  </si>
  <si>
    <t>Record continuous powered-use interval</t>
  </si>
  <si>
    <t>Location</t>
  </si>
  <si>
    <t>Evidence storage</t>
  </si>
  <si>
    <t>Record log, photo or video reference where available</t>
  </si>
  <si>
    <t>Start one row whenever a distinct operating session begins. Record category, version, workload and exact duration.</t>
  </si>
  <si>
    <t>Count each unexpected reset, communication failure, motion failure, sensor failure and application error. Do not omit incidents that were quickly resolved.</t>
  </si>
  <si>
    <t>Record total downtime and the principal issue. Summarize the corrective action even when the issue remains unresolved.</t>
  </si>
  <si>
    <t>Use Completed with issues when the planned work finishes despite incidents, Aborted when incidents prevent completion and Invalid only for unusable records.</t>
  </si>
  <si>
    <t>Review logs at the end of the session to confirm counts. Do not duplicate the same incident across multiple categories unless separate failures occurred.</t>
  </si>
  <si>
    <t>Operating time (h)</t>
  </si>
  <si>
    <t>Total incidents</t>
  </si>
  <si>
    <t>Incidents per hour</t>
  </si>
  <si>
    <t>Sessions without incidents</t>
  </si>
  <si>
    <t>Aborted sessions</t>
  </si>
  <si>
    <t>Firmware/software</t>
  </si>
  <si>
    <t>Workload summary</t>
  </si>
  <si>
    <t>Unexpected resets</t>
  </si>
  <si>
    <t>Communication failures</t>
  </si>
  <si>
    <t>Servo/motion failures</t>
  </si>
  <si>
    <t>Camera/sensor failures</t>
  </si>
  <si>
    <t>Application errors</t>
  </si>
  <si>
    <t>Downtime (min)</t>
  </si>
  <si>
    <t>Session outcome</t>
  </si>
  <si>
    <t>Main issue</t>
  </si>
  <si>
    <t>Corrective action</t>
  </si>
  <si>
    <t>Notes/log reference</t>
  </si>
  <si>
    <t>REL-001</t>
  </si>
  <si>
    <t>REL-002</t>
  </si>
  <si>
    <t>REL-003</t>
  </si>
  <si>
    <t>REL-004</t>
  </si>
  <si>
    <t>REL-005</t>
  </si>
  <si>
    <t>REL-006</t>
  </si>
  <si>
    <t>REL-007</t>
  </si>
  <si>
    <t>REL-008</t>
  </si>
  <si>
    <t>REL-009</t>
  </si>
  <si>
    <t>REL-010</t>
  </si>
  <si>
    <t>REL-011</t>
  </si>
  <si>
    <t>REL-012</t>
  </si>
  <si>
    <t>REL-013</t>
  </si>
  <si>
    <t>REL-014</t>
  </si>
  <si>
    <t>REL-015</t>
  </si>
  <si>
    <t>REL-016</t>
  </si>
  <si>
    <t>REL-017</t>
  </si>
  <si>
    <t>REL-018</t>
  </si>
  <si>
    <t>REL-019</t>
  </si>
  <si>
    <t>REL-020</t>
  </si>
  <si>
    <t>REL-021</t>
  </si>
  <si>
    <t>REL-022</t>
  </si>
  <si>
    <t>REL-023</t>
  </si>
  <si>
    <t>REL-024</t>
  </si>
  <si>
    <t>REL-025</t>
  </si>
  <si>
    <t>REL-026</t>
  </si>
  <si>
    <t>REL-027</t>
  </si>
  <si>
    <t>REL-028</t>
  </si>
  <si>
    <t>REL-029</t>
  </si>
  <si>
    <t>REL-030</t>
  </si>
  <si>
    <t>REL-031</t>
  </si>
  <si>
    <t>REL-032</t>
  </si>
  <si>
    <t>REL-033</t>
  </si>
  <si>
    <t>REL-034</t>
  </si>
  <si>
    <t>REL-035</t>
  </si>
  <si>
    <t>REL-036</t>
  </si>
  <si>
    <t>REL-037</t>
  </si>
  <si>
    <t>REL-038</t>
  </si>
  <si>
    <t>REL-039</t>
  </si>
  <si>
    <t>REL-040</t>
  </si>
  <si>
    <t xml:space="preserve">Bittle X V2 </t>
  </si>
  <si>
    <t>BiBoard v1.0</t>
  </si>
  <si>
    <t>OpenCat readBattery Function</t>
  </si>
  <si>
    <t>No added payload/Weight</t>
  </si>
  <si>
    <t>Yashna and Toma</t>
  </si>
  <si>
    <t>Home/Room Temperature, Lab Room</t>
  </si>
  <si>
    <t>9V</t>
  </si>
  <si>
    <t>Inspect the battery and robot.</t>
  </si>
  <si>
    <t xml:space="preserve">Record the session category and a specific workload description. </t>
  </si>
  <si>
    <t>Development</t>
  </si>
  <si>
    <t>NONE, Developing Desk Companion</t>
  </si>
  <si>
    <t>Testing</t>
  </si>
  <si>
    <t>Demo</t>
  </si>
  <si>
    <t>Desk Companion</t>
  </si>
  <si>
    <t>2m</t>
  </si>
  <si>
    <t>Define acceptable start range(8-9V)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</si>
</sst>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yy"/>
    <numFmt numFmtId="166" formatCode="0.0"/>
    <numFmt numFmtId="167" formatCode="0.000"/>
  </numFmts>
  <fonts count="11">
    <font>
      <sz val="11"/>
      <name val="Carlito"/>
    </font>
    <font>
      <b/>
      <sz val="16"/>
      <color rgb="FF1B365D"/>
      <name val="Arial"/>
    </font>
    <font>
      <i/>
      <sz val="9"/>
      <color rgb="FF5B6573"/>
      <name val="Arial"/>
    </font>
    <font>
      <b/>
      <sz val="10"/>
      <color rgb="FFFFFFFF"/>
      <name val="Arial"/>
    </font>
    <font>
      <b/>
      <sz val="9"/>
      <color rgb="FF1F2937"/>
      <name val="Arial"/>
    </font>
    <font>
      <sz val="9"/>
      <color rgb="FF1F2937"/>
      <name val="Arial"/>
    </font>
    <font>
      <b/>
      <sz val="9"/>
      <color rgb="FF1B365D"/>
      <name val="Arial"/>
    </font>
    <font>
      <b/>
      <sz val="10"/>
      <color rgb="FF1B365D"/>
      <name val="Arial"/>
    </font>
    <font>
      <b/>
      <sz val="9"/>
      <color rgb="FFFFFFFF"/>
      <name val="Arial"/>
    </font>
    <font>
      <sz val="9"/>
      <color rgb="FF1B365D"/>
      <name val="Arial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rgb="FFF2F2F2"/>
      </patternFill>
    </fill>
    <fill>
      <patternFill patternType="solid">
        <fgColor rgb="FF2F75B5"/>
      </patternFill>
    </fill>
  </fills>
  <borders count="17">
    <border>
      <left/>
      <right/>
      <top/>
      <bottom/>
      <diagonal/>
    </border>
    <border>
      <left style="thin">
        <color rgb="FF1B365D"/>
      </left>
      <right/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top"/>
    </xf>
    <xf numFmtId="1" fontId="7" fillId="5" borderId="4" xfId="0" applyNumberFormat="1" applyFont="1" applyFill="1" applyBorder="1" applyAlignment="1">
      <alignment horizontal="right" vertical="center"/>
    </xf>
    <xf numFmtId="2" fontId="7" fillId="5" borderId="4" xfId="0" applyNumberFormat="1" applyFont="1" applyFill="1" applyBorder="1" applyAlignment="1">
      <alignment horizontal="right" vertical="center"/>
    </xf>
    <xf numFmtId="164" fontId="7" fillId="5" borderId="4" xfId="0" applyNumberFormat="1" applyFont="1" applyFill="1" applyBorder="1" applyAlignment="1">
      <alignment horizontal="right" vertical="center"/>
    </xf>
    <xf numFmtId="0" fontId="8" fillId="7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1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vertical="top"/>
    </xf>
    <xf numFmtId="166" fontId="9" fillId="5" borderId="0" xfId="0" applyNumberFormat="1" applyFont="1" applyFill="1" applyAlignment="1">
      <alignment vertical="top"/>
    </xf>
    <xf numFmtId="164" fontId="9" fillId="5" borderId="0" xfId="0" applyNumberFormat="1" applyFont="1" applyFill="1" applyAlignment="1">
      <alignment vertical="top"/>
    </xf>
    <xf numFmtId="2" fontId="5" fillId="0" borderId="0" xfId="0" applyNumberFormat="1" applyFont="1" applyAlignment="1">
      <alignment vertical="top"/>
    </xf>
    <xf numFmtId="2" fontId="9" fillId="5" borderId="0" xfId="0" applyNumberFormat="1" applyFont="1" applyFill="1" applyAlignment="1">
      <alignment vertical="top"/>
    </xf>
    <xf numFmtId="0" fontId="10" fillId="0" borderId="0" xfId="0" applyFont="1"/>
    <xf numFmtId="167" fontId="7" fillId="5" borderId="4" xfId="0" applyNumberFormat="1" applyFont="1" applyFill="1" applyBorder="1" applyAlignment="1">
      <alignment horizontal="right" vertical="center"/>
    </xf>
    <xf numFmtId="167" fontId="9" fillId="5" borderId="0" xfId="0" applyNumberFormat="1" applyFont="1" applyFill="1" applyAlignment="1">
      <alignment vertical="top"/>
    </xf>
    <xf numFmtId="1" fontId="9" fillId="5" borderId="0" xfId="0" applyNumberFormat="1" applyFont="1" applyFill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top" wrapText="1"/>
    </xf>
    <xf numFmtId="0" fontId="5" fillId="6" borderId="9" xfId="0" applyFont="1" applyFill="1" applyBorder="1" applyAlignment="1">
      <alignment vertical="top" wrapText="1"/>
    </xf>
    <xf numFmtId="0" fontId="5" fillId="6" borderId="10" xfId="0" applyFont="1" applyFill="1" applyBorder="1" applyAlignment="1">
      <alignment vertical="top" wrapText="1"/>
    </xf>
    <xf numFmtId="0" fontId="5" fillId="6" borderId="11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6" borderId="12" xfId="0" applyFont="1" applyFill="1" applyBorder="1" applyAlignment="1">
      <alignment vertical="top" wrapText="1"/>
    </xf>
    <xf numFmtId="0" fontId="5" fillId="6" borderId="13" xfId="0" applyFont="1" applyFill="1" applyBorder="1" applyAlignment="1">
      <alignment vertical="top" wrapText="1"/>
    </xf>
    <xf numFmtId="0" fontId="5" fillId="6" borderId="14" xfId="0" applyFont="1" applyFill="1" applyBorder="1" applyAlignment="1">
      <alignment vertical="top" wrapText="1"/>
    </xf>
    <xf numFmtId="0" fontId="5" fillId="6" borderId="15" xfId="0" applyFont="1" applyFill="1" applyBorder="1" applyAlignment="1">
      <alignment vertical="top" wrapText="1"/>
    </xf>
    <xf numFmtId="17" fontId="5" fillId="4" borderId="5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i/>
        <color rgb="FF5B6573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i/>
        <color rgb="FF5B6573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i/>
        <color rgb="FF5B6573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i/>
        <color rgb="FF5B6573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i/>
        <color rgb="FF5B6573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tterySessionsTable" displayName="BatterySessionsTable" ref="A30:Q70" totalsRowShown="0">
  <autoFilter ref="A30:Q70" xr:uid="{00000000-0009-0000-0100-000001000000}"/>
  <tableColumns count="17">
    <tableColumn id="1" xr3:uid="{00000000-0010-0000-0000-000001000000}" name="Session ID"/>
    <tableColumn id="2" xr3:uid="{00000000-0010-0000-0000-000002000000}" name="Date"/>
    <tableColumn id="3" xr3:uid="{00000000-0010-0000-0000-000003000000}" name="Session category"/>
    <tableColumn id="4" xr3:uid="{00000000-0010-0000-0000-000004000000}" name="Workload and activity"/>
    <tableColumn id="5" xr3:uid="{00000000-0010-0000-0000-000005000000}" name="Start battery (%)"/>
    <tableColumn id="6" xr3:uid="{00000000-0010-0000-0000-000006000000}" name="End battery (%)"/>
    <tableColumn id="7" xr3:uid="{00000000-0010-0000-0000-000007000000}" name="Battery change (pp)"/>
    <tableColumn id="8" xr3:uid="{00000000-0010-0000-0000-000008000000}" name="Duration (min)"/>
    <tableColumn id="9" xr3:uid="{00000000-0010-0000-0000-000009000000}" name="Motion time (min)"/>
    <tableColumn id="10" xr3:uid="{00000000-0010-0000-0000-00000A000000}" name="Motion duty cycle"/>
    <tableColumn id="11" xr3:uid="{00000000-0010-0000-0000-00000B000000}" name="Depletion rate (pp/h)"/>
    <tableColumn id="12" xr3:uid="{00000000-0010-0000-0000-00000C000000}" name="Start voltage (V)"/>
    <tableColumn id="13" xr3:uid="{00000000-0010-0000-0000-00000D000000}" name="End voltage (V)"/>
    <tableColumn id="14" xr3:uid="{00000000-0010-0000-0000-00000E000000}" name="Voltage change (V)"/>
    <tableColumn id="15" xr3:uid="{00000000-0010-0000-0000-00000F000000}" name="Issues or failures"/>
    <tableColumn id="16" xr3:uid="{00000000-0010-0000-0000-000010000000}" name="Firmware/version"/>
    <tableColumn id="17" xr3:uid="{00000000-0010-0000-0000-000011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raightWalkTable" displayName="StraightWalkTable" ref="A30:O50" totalsRowShown="0">
  <autoFilter ref="A30:O50" xr:uid="{00000000-0009-0000-0100-000002000000}"/>
  <tableColumns count="15">
    <tableColumn id="1" xr3:uid="{00000000-0010-0000-0100-000001000000}" name="Run ID"/>
    <tableColumn id="2" xr3:uid="{00000000-0010-0000-0100-000002000000}" name="Date"/>
    <tableColumn id="3" xr3:uid="{00000000-0010-0000-0100-000003000000}" name="Run direction"/>
    <tableColumn id="4" xr3:uid="{00000000-0010-0000-0100-000004000000}" name="Target distance (m)"/>
    <tableColumn id="5" xr3:uid="{00000000-0010-0000-0100-000005000000}" name="Lateral deviation (cm, signed)"/>
    <tableColumn id="6" xr3:uid="{00000000-0010-0000-0100-000006000000}" name="Absolute drift (cm/m)"/>
    <tableColumn id="7" xr3:uid="{00000000-0010-0000-0100-000007000000}" name="Heading error (deg, signed)"/>
    <tableColumn id="8" xr3:uid="{00000000-0010-0000-0100-000008000000}" name="Absolute heading error (deg)"/>
    <tableColumn id="9" xr3:uid="{00000000-0010-0000-0100-000009000000}" name="Time (s)"/>
    <tableColumn id="10" xr3:uid="{00000000-0010-0000-0100-00000A000000}" name="Average speed (m/s)"/>
    <tableColumn id="11" xr3:uid="{00000000-0010-0000-0100-00000B000000}" name="Start battery (%)"/>
    <tableColumn id="12" xr3:uid="{00000000-0010-0000-0100-00000C000000}" name="End battery (%)"/>
    <tableColumn id="13" xr3:uid="{00000000-0010-0000-0100-00000D000000}" name="Outcome"/>
    <tableColumn id="14" xr3:uid="{00000000-0010-0000-0100-00000E000000}" name="Footage/file reference"/>
    <tableColumn id="15" xr3:uid="{00000000-0010-0000-0100-00000F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urningAccuracyTable" displayName="TurningAccuracyTable" ref="A30:O54" totalsRowShown="0">
  <autoFilter ref="A30:O54" xr:uid="{00000000-0009-0000-0100-000003000000}"/>
  <tableColumns count="15">
    <tableColumn id="1" xr3:uid="{00000000-0010-0000-0200-000001000000}" name="Run ID"/>
    <tableColumn id="2" xr3:uid="{00000000-0010-0000-0200-000002000000}" name="Date"/>
    <tableColumn id="3" xr3:uid="{00000000-0010-0000-0200-000003000000}" name="Direction"/>
    <tableColumn id="4" xr3:uid="{00000000-0010-0000-0200-000004000000}" name="Target angle (deg)"/>
    <tableColumn id="5" xr3:uid="{00000000-0010-0000-0200-000005000000}" name="Measured angle (deg)"/>
    <tableColumn id="6" xr3:uid="{00000000-0010-0000-0200-000006000000}" name="Signed error (deg)"/>
    <tableColumn id="7" xr3:uid="{00000000-0010-0000-0200-000007000000}" name="Absolute error (deg)"/>
    <tableColumn id="8" xr3:uid="{00000000-0010-0000-0200-000008000000}" name="Command/gait"/>
    <tableColumn id="9" xr3:uid="{00000000-0010-0000-0200-000009000000}" name="Command duration (ms)"/>
    <tableColumn id="10" xr3:uid="{00000000-0010-0000-0200-00000A000000}" name="Gait cycles"/>
    <tableColumn id="11" xr3:uid="{00000000-0010-0000-0200-00000B000000}" name="Start battery (%)"/>
    <tableColumn id="12" xr3:uid="{00000000-0010-0000-0200-00000C000000}" name="End battery (%)"/>
    <tableColumn id="13" xr3:uid="{00000000-0010-0000-0200-00000D000000}" name="Outcome"/>
    <tableColumn id="14" xr3:uid="{00000000-0010-0000-0200-00000E000000}" name="Footage/file reference"/>
    <tableColumn id="15" xr3:uid="{00000000-0010-0000-0200-00000F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yloadCapacityTable" displayName="PayloadCapacityTable" ref="A30:Q55" totalsRowShown="0">
  <autoFilter ref="A30:Q55" xr:uid="{00000000-0009-0000-0100-000004000000}"/>
  <tableColumns count="17">
    <tableColumn id="1" xr3:uid="{00000000-0010-0000-0300-000001000000}" name="Run ID"/>
    <tableColumn id="2" xr3:uid="{00000000-0010-0000-0300-000002000000}" name="Date"/>
    <tableColumn id="3" xr3:uid="{00000000-0010-0000-0300-000003000000}" name="Payload mass (g)"/>
    <tableColumn id="4" xr3:uid="{00000000-0010-0000-0300-000004000000}" name="Mounting position"/>
    <tableColumn id="5" xr3:uid="{00000000-0010-0000-0300-000005000000}" name="Target distance (m)"/>
    <tableColumn id="6" xr3:uid="{00000000-0010-0000-0300-000006000000}" name="Completed distance (m)"/>
    <tableColumn id="7" xr3:uid="{00000000-0010-0000-0300-000007000000}" name="Time (s)"/>
    <tableColumn id="8" xr3:uid="{00000000-0010-0000-0300-000008000000}" name="Average speed (m/s)"/>
    <tableColumn id="9" xr3:uid="{00000000-0010-0000-0300-000009000000}" name="Stability rating (1-5)"/>
    <tableColumn id="10" xr3:uid="{00000000-0010-0000-0300-00000A000000}" name="Slips/stalls"/>
    <tableColumn id="11" xr3:uid="{00000000-0010-0000-0300-00000B000000}" name="Falls"/>
    <tableColumn id="12" xr3:uid="{00000000-0010-0000-0300-00000C000000}" name="Servo warning"/>
    <tableColumn id="13" xr3:uid="{00000000-0010-0000-0300-00000D000000}" name="Start battery (%)"/>
    <tableColumn id="14" xr3:uid="{00000000-0010-0000-0300-00000E000000}" name="Outcome"/>
    <tableColumn id="15" xr3:uid="{00000000-0010-0000-0300-00000F000000}" name="Passed payload (g)"/>
    <tableColumn id="16" xr3:uid="{00000000-0010-0000-0300-000010000000}" name="Footage/file reference"/>
    <tableColumn id="17" xr3:uid="{00000000-0010-0000-0300-000011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ineFollowingTable" displayName="LineFollowingTable" ref="A30:Q50" totalsRowShown="0">
  <autoFilter ref="A30:Q50" xr:uid="{00000000-0009-0000-0100-000005000000}"/>
  <tableColumns count="17">
    <tableColumn id="1" xr3:uid="{00000000-0010-0000-0400-000001000000}" name="Run ID"/>
    <tableColumn id="2" xr3:uid="{00000000-0010-0000-0400-000002000000}" name="Date"/>
    <tableColumn id="3" xr3:uid="{00000000-0010-0000-0400-000003000000}" name="Track ID/version"/>
    <tableColumn id="4" xr3:uid="{00000000-0010-0000-0400-000004000000}" name="Controller version"/>
    <tableColumn id="5" xr3:uid="{00000000-0010-0000-0400-000005000000}" name="Gait/speed"/>
    <tableColumn id="6" xr3:uid="{00000000-0010-0000-0400-000006000000}" name="Start battery (%)"/>
    <tableColumn id="7" xr3:uid="{00000000-0010-0000-0400-000007000000}" name="End battery (%)"/>
    <tableColumn id="8" xr3:uid="{00000000-0010-0000-0400-000008000000}" name="Elapsed time (s)"/>
    <tableColumn id="9" xr3:uid="{00000000-0010-0000-0400-000009000000}" name="Track completed"/>
    <tableColumn id="10" xr3:uid="{00000000-0010-0000-0400-00000A000000}" name="Line-loss events"/>
    <tableColumn id="11" xr3:uid="{00000000-0010-0000-0400-00000B000000}" name="Successful recoveries"/>
    <tableColumn id="12" xr3:uid="{00000000-0010-0000-0400-00000C000000}" name="Manual interventions"/>
    <tableColumn id="13" xr3:uid="{00000000-0010-0000-0400-00000D000000}" name="90-degree turns attempted"/>
    <tableColumn id="14" xr3:uid="{00000000-0010-0000-0400-00000E000000}" name="90-degree turns completed"/>
    <tableColumn id="15" xr3:uid="{00000000-0010-0000-0400-00000F000000}" name="Turn success rate"/>
    <tableColumn id="16" xr3:uid="{00000000-0010-0000-0400-000010000000}" name="Outcome"/>
    <tableColumn id="17" xr3:uid="{00000000-0010-0000-0400-000011000000}" name="Notes/video 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skCompanionTable" displayName="DeskCompanionTable" ref="A30:P60" totalsRowShown="0">
  <autoFilter ref="A30:P60" xr:uid="{00000000-0009-0000-0100-000006000000}"/>
  <tableColumns count="16">
    <tableColumn id="1" xr3:uid="{00000000-0010-0000-0500-000001000000}" name="Test ID"/>
    <tableColumn id="2" xr3:uid="{00000000-0010-0000-0500-000002000000}" name="Date"/>
    <tableColumn id="3" xr3:uid="{00000000-0010-0000-0500-000003000000}" name="Scenario type"/>
    <tableColumn id="4" xr3:uid="{00000000-0010-0000-0500-000004000000}" name="Scenario ID/version"/>
    <tableColumn id="5" xr3:uid="{00000000-0010-0000-0500-000005000000}" name="Preconditions"/>
    <tableColumn id="6" xr3:uid="{00000000-0010-0000-0500-000006000000}" name="Expected behaviour"/>
    <tableColumn id="7" xr3:uid="{00000000-0010-0000-0500-000007000000}" name="Observed behaviour"/>
    <tableColumn id="8" xr3:uid="{00000000-0010-0000-0500-000008000000}" name="Response latency (ms)"/>
    <tableColumn id="9" xr3:uid="{00000000-0010-0000-0500-000009000000}" name="False trigger"/>
    <tableColumn id="10" xr3:uid="{00000000-0010-0000-0500-00000A000000}" name="Crash/hang"/>
    <tableColumn id="11" xr3:uid="{00000000-0010-0000-0500-00000B000000}" name="Recovery time (s)"/>
    <tableColumn id="12" xr3:uid="{00000000-0010-0000-0500-00000C000000}" name="Outcome"/>
    <tableColumn id="13" xr3:uid="{00000000-0010-0000-0500-00000D000000}" name="Petoi connected"/>
    <tableColumn id="14" xr3:uid="{00000000-0010-0000-0500-00000E000000}" name="Software/firmware version"/>
    <tableColumn id="15" xr3:uid="{00000000-0010-0000-0500-00000F000000}" name="Log/file reference"/>
    <tableColumn id="16" xr3:uid="{00000000-0010-0000-0500-000010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liabilityLogTable" displayName="ReliabilityLogTable" ref="A30:Q70" totalsRowShown="0">
  <autoFilter ref="A30:Q70" xr:uid="{00000000-0009-0000-0100-000007000000}"/>
  <tableColumns count="17">
    <tableColumn id="1" xr3:uid="{00000000-0010-0000-0600-000001000000}" name="Session ID"/>
    <tableColumn id="2" xr3:uid="{00000000-0010-0000-0600-000002000000}" name="Date"/>
    <tableColumn id="3" xr3:uid="{00000000-0010-0000-0600-000003000000}" name="Session category"/>
    <tableColumn id="4" xr3:uid="{00000000-0010-0000-0600-000004000000}" name="Duration (min)"/>
    <tableColumn id="5" xr3:uid="{00000000-0010-0000-0600-000005000000}" name="Firmware/software"/>
    <tableColumn id="6" xr3:uid="{00000000-0010-0000-0600-000006000000}" name="Workload summary"/>
    <tableColumn id="7" xr3:uid="{00000000-0010-0000-0600-000007000000}" name="Unexpected resets"/>
    <tableColumn id="8" xr3:uid="{00000000-0010-0000-0600-000008000000}" name="Communication failures"/>
    <tableColumn id="9" xr3:uid="{00000000-0010-0000-0600-000009000000}" name="Servo/motion failures"/>
    <tableColumn id="10" xr3:uid="{00000000-0010-0000-0600-00000A000000}" name="Camera/sensor failures"/>
    <tableColumn id="11" xr3:uid="{00000000-0010-0000-0600-00000B000000}" name="Application errors"/>
    <tableColumn id="12" xr3:uid="{00000000-0010-0000-0600-00000C000000}" name="Total incidents"/>
    <tableColumn id="13" xr3:uid="{00000000-0010-0000-0600-00000D000000}" name="Downtime (min)"/>
    <tableColumn id="14" xr3:uid="{00000000-0010-0000-0600-00000E000000}" name="Session outcome"/>
    <tableColumn id="15" xr3:uid="{00000000-0010-0000-0600-00000F000000}" name="Main issue"/>
    <tableColumn id="16" xr3:uid="{00000000-0010-0000-0600-000010000000}" name="Corrective action"/>
    <tableColumn id="17" xr3:uid="{00000000-0010-0000-0600-000011000000}" name="Notes/log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Q70"/>
  <sheetViews>
    <sheetView showGridLines="0" topLeftCell="A21" workbookViewId="0">
      <selection activeCell="B40" sqref="B40"/>
    </sheetView>
  </sheetViews>
  <sheetFormatPr defaultRowHeight="13.5"/>
  <cols>
    <col min="1" max="1" width="17" customWidth="1"/>
    <col min="2" max="2" width="12" customWidth="1"/>
    <col min="3" max="3" width="15" customWidth="1"/>
    <col min="4" max="4" width="28" customWidth="1"/>
    <col min="5" max="5" width="17" customWidth="1"/>
    <col min="6" max="6" width="18" customWidth="1"/>
    <col min="7" max="7" width="14" customWidth="1"/>
    <col min="8" max="8" width="12" customWidth="1"/>
    <col min="9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28" customWidth="1"/>
    <col min="16" max="16" width="20" customWidth="1"/>
    <col min="17" max="17" width="30" customWidth="1"/>
  </cols>
  <sheetData>
    <row r="1" spans="1:17" ht="8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5.0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22.05" customHeight="1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31.05" customHeight="1">
      <c r="A6" s="6" t="s">
        <v>3</v>
      </c>
      <c r="B6" s="26" t="s">
        <v>4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ht="31.05" customHeight="1">
      <c r="A7" s="6" t="s">
        <v>5</v>
      </c>
      <c r="B7" s="26" t="s">
        <v>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1.05" customHeight="1">
      <c r="A8" s="6" t="s">
        <v>7</v>
      </c>
      <c r="B8" s="26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ht="38" customHeight="1">
      <c r="A9" s="6" t="s">
        <v>9</v>
      </c>
      <c r="B9" s="26" t="s">
        <v>10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ht="8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2.05" customHeight="1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ht="29" customHeight="1">
      <c r="A12" s="7" t="s">
        <v>12</v>
      </c>
      <c r="B12" s="29" t="s">
        <v>468</v>
      </c>
      <c r="C12" s="30"/>
      <c r="D12" s="31"/>
      <c r="E12" s="22"/>
      <c r="F12" s="7" t="s">
        <v>14</v>
      </c>
      <c r="G12" s="29" t="s">
        <v>469</v>
      </c>
      <c r="H12" s="30"/>
      <c r="I12" s="31"/>
      <c r="J12" s="22"/>
      <c r="K12" s="7" t="s">
        <v>16</v>
      </c>
      <c r="L12" s="41">
        <v>46174</v>
      </c>
      <c r="M12" s="42"/>
      <c r="N12" s="42"/>
      <c r="O12" s="42"/>
      <c r="P12" s="42"/>
      <c r="Q12" s="43"/>
    </row>
    <row r="13" spans="1:17" ht="29" customHeight="1">
      <c r="A13" s="7" t="s">
        <v>17</v>
      </c>
      <c r="B13" s="29" t="s">
        <v>474</v>
      </c>
      <c r="C13" s="30"/>
      <c r="D13" s="31"/>
      <c r="E13" s="22"/>
      <c r="F13" s="7" t="s">
        <v>18</v>
      </c>
      <c r="G13" s="29" t="s">
        <v>470</v>
      </c>
      <c r="H13" s="30"/>
      <c r="I13" s="31"/>
      <c r="J13" s="22"/>
      <c r="K13" s="7" t="s">
        <v>19</v>
      </c>
      <c r="L13" s="29"/>
      <c r="M13" s="30"/>
      <c r="N13" s="30"/>
      <c r="O13" s="30"/>
      <c r="P13" s="30"/>
      <c r="Q13" s="31"/>
    </row>
    <row r="14" spans="1:17" ht="29" customHeight="1">
      <c r="A14" s="7" t="s">
        <v>20</v>
      </c>
      <c r="B14" s="29" t="s">
        <v>473</v>
      </c>
      <c r="C14" s="30"/>
      <c r="D14" s="31"/>
      <c r="E14" s="22"/>
      <c r="F14" s="7" t="s">
        <v>21</v>
      </c>
      <c r="G14" s="29" t="s">
        <v>471</v>
      </c>
      <c r="H14" s="30"/>
      <c r="I14" s="31"/>
      <c r="J14" s="22"/>
      <c r="K14" s="7" t="s">
        <v>23</v>
      </c>
      <c r="L14" s="29" t="s">
        <v>472</v>
      </c>
      <c r="M14" s="30"/>
      <c r="N14" s="30"/>
      <c r="O14" s="30"/>
      <c r="P14" s="30"/>
      <c r="Q14" s="31"/>
    </row>
    <row r="15" spans="1:17" ht="8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22.05" customHeight="1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ht="28.05" customHeight="1">
      <c r="A17" s="8">
        <v>1</v>
      </c>
      <c r="B17" s="26" t="s">
        <v>475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1:17" ht="28.05" customHeight="1">
      <c r="A18" s="8">
        <v>2</v>
      </c>
      <c r="B18" s="26" t="s">
        <v>476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1:17" ht="28.05" customHeight="1">
      <c r="A19" s="8">
        <v>3</v>
      </c>
      <c r="B19" s="26" t="s">
        <v>25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28.05" customHeight="1">
      <c r="A20" s="8">
        <v>4</v>
      </c>
      <c r="B20" s="26" t="s">
        <v>26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8.05" customHeight="1">
      <c r="A21" s="8">
        <v>5</v>
      </c>
      <c r="B21" s="26" t="s">
        <v>27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1:17" ht="8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22.05" customHeight="1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spans="1:17" ht="30" customHeight="1">
      <c r="A24" s="7" t="s">
        <v>29</v>
      </c>
      <c r="B24" s="9">
        <f>COUNT(K31:K70)</f>
        <v>9</v>
      </c>
      <c r="C24" s="22"/>
      <c r="D24" s="7" t="s">
        <v>30</v>
      </c>
      <c r="E24" s="10">
        <f>IF(COUNT(H31:H70)=0,"n.a.",SUM(H31:H70)/60)</f>
        <v>5.2166666666666668</v>
      </c>
      <c r="F24" s="22"/>
      <c r="G24" s="7" t="s">
        <v>31</v>
      </c>
      <c r="H24" s="10">
        <f>IF(COUNT(K31:K70)=0,"n.a.",AVERAGE(K31:K70))</f>
        <v>27.073429951690823</v>
      </c>
      <c r="I24" s="22"/>
      <c r="J24" s="7" t="s">
        <v>32</v>
      </c>
      <c r="K24" s="11">
        <f>IF(COUNT(J31:J70)=0,"n.a.",AVERAGE(J31:J70))</f>
        <v>0</v>
      </c>
      <c r="L24" s="22"/>
      <c r="M24" s="32" t="s">
        <v>33</v>
      </c>
      <c r="N24" s="33"/>
      <c r="O24" s="33"/>
      <c r="P24" s="33"/>
      <c r="Q24" s="34"/>
    </row>
    <row r="25" spans="1:17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5"/>
      <c r="N25" s="36"/>
      <c r="O25" s="36"/>
      <c r="P25" s="36"/>
      <c r="Q25" s="37"/>
    </row>
    <row r="26" spans="1:17" ht="30" customHeight="1">
      <c r="A26" s="7" t="s">
        <v>34</v>
      </c>
      <c r="B26" s="10">
        <f>IF(COUNT(K31:K70)=0,"n.a.",MIN(K31:K70))</f>
        <v>18</v>
      </c>
      <c r="C26" s="22"/>
      <c r="D26" s="7" t="s">
        <v>35</v>
      </c>
      <c r="E26" s="10">
        <f>IF(COUNT(K31:K70)=0,"n.a.",MAX(K31:K70))</f>
        <v>46</v>
      </c>
      <c r="F26" s="22"/>
      <c r="G26" s="22"/>
      <c r="H26" s="22"/>
      <c r="I26" s="22"/>
      <c r="J26" s="22"/>
      <c r="K26" s="22"/>
      <c r="L26" s="22"/>
      <c r="M26" s="38"/>
      <c r="N26" s="39"/>
      <c r="O26" s="39"/>
      <c r="P26" s="39"/>
      <c r="Q26" s="40"/>
    </row>
    <row r="27" spans="1:17" ht="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8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22.05" customHeight="1">
      <c r="A29" s="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42" customHeight="1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41</v>
      </c>
      <c r="F30" s="12" t="s">
        <v>42</v>
      </c>
      <c r="G30" s="12" t="s">
        <v>43</v>
      </c>
      <c r="H30" s="12" t="s">
        <v>44</v>
      </c>
      <c r="I30" s="12" t="s">
        <v>45</v>
      </c>
      <c r="J30" s="12" t="s">
        <v>46</v>
      </c>
      <c r="K30" s="12" t="s">
        <v>47</v>
      </c>
      <c r="L30" s="12" t="s">
        <v>48</v>
      </c>
      <c r="M30" s="12" t="s">
        <v>49</v>
      </c>
      <c r="N30" s="12" t="s">
        <v>50</v>
      </c>
      <c r="O30" s="12" t="s">
        <v>51</v>
      </c>
      <c r="P30" s="12" t="s">
        <v>52</v>
      </c>
      <c r="Q30" s="12" t="s">
        <v>53</v>
      </c>
    </row>
    <row r="31" spans="1:17" ht="24" customHeight="1">
      <c r="A31" s="13" t="s">
        <v>54</v>
      </c>
      <c r="B31" s="14">
        <v>46267</v>
      </c>
      <c r="C31" s="13" t="s">
        <v>477</v>
      </c>
      <c r="D31" s="15" t="s">
        <v>478</v>
      </c>
      <c r="E31" s="16">
        <v>96</v>
      </c>
      <c r="F31" s="16">
        <v>84</v>
      </c>
      <c r="G31" s="18">
        <f t="shared" ref="G31:G70" si="0">IF(COUNT(E31,F31)&lt;2,"",E31-F31)</f>
        <v>12</v>
      </c>
      <c r="H31" s="17">
        <v>30</v>
      </c>
      <c r="I31" s="17">
        <v>0</v>
      </c>
      <c r="J31" s="19">
        <f t="shared" ref="J31:J70" si="1">IF(COUNT(H31,I31)&lt;2,"",IF(H31=0,"",I31/H31))</f>
        <v>0</v>
      </c>
      <c r="K31" s="21">
        <f t="shared" ref="K31:K70" si="2">IF(COUNT(G31,H31)&lt;2,"",IF(H31=0,"",G31*60/H31))</f>
        <v>24</v>
      </c>
      <c r="L31" s="20">
        <v>8.32</v>
      </c>
      <c r="M31" s="20">
        <v>7.54</v>
      </c>
      <c r="N31" s="21">
        <f t="shared" ref="N31:N70" si="3">IF(COUNT(L31,M31)&lt;2,"",L31-M31)</f>
        <v>0.78000000000000025</v>
      </c>
      <c r="O31" s="15"/>
      <c r="P31" s="13"/>
      <c r="Q31" s="15"/>
    </row>
    <row r="32" spans="1:17" ht="24" customHeight="1">
      <c r="A32" s="13" t="s">
        <v>55</v>
      </c>
      <c r="B32" s="14">
        <v>46268</v>
      </c>
      <c r="C32" s="13" t="s">
        <v>477</v>
      </c>
      <c r="D32" s="15" t="s">
        <v>481</v>
      </c>
      <c r="E32" s="16">
        <v>99</v>
      </c>
      <c r="F32" s="16">
        <v>53</v>
      </c>
      <c r="G32" s="18">
        <f t="shared" si="0"/>
        <v>46</v>
      </c>
      <c r="H32" s="17">
        <v>60</v>
      </c>
      <c r="I32" s="17">
        <v>0</v>
      </c>
      <c r="J32" s="19">
        <v>0</v>
      </c>
      <c r="K32" s="21">
        <f t="shared" si="2"/>
        <v>46</v>
      </c>
      <c r="L32" s="20">
        <v>8.89</v>
      </c>
      <c r="M32" s="20">
        <v>4.5599999999999996</v>
      </c>
      <c r="N32" s="21">
        <f t="shared" si="3"/>
        <v>4.330000000000001</v>
      </c>
      <c r="O32" s="15"/>
      <c r="P32" s="13"/>
      <c r="Q32" s="15"/>
    </row>
    <row r="33" spans="1:17" ht="24" customHeight="1">
      <c r="A33" s="13" t="s">
        <v>56</v>
      </c>
      <c r="B33" s="14">
        <v>46269</v>
      </c>
      <c r="C33" s="13" t="s">
        <v>477</v>
      </c>
      <c r="D33" s="15" t="s">
        <v>481</v>
      </c>
      <c r="E33" s="16">
        <v>97</v>
      </c>
      <c r="F33" s="16">
        <v>46</v>
      </c>
      <c r="G33" s="18">
        <f t="shared" si="0"/>
        <v>51</v>
      </c>
      <c r="H33" s="17">
        <v>75</v>
      </c>
      <c r="I33" s="17">
        <v>0</v>
      </c>
      <c r="J33" s="19">
        <f t="shared" si="1"/>
        <v>0</v>
      </c>
      <c r="K33" s="21">
        <f t="shared" si="2"/>
        <v>40.799999999999997</v>
      </c>
      <c r="L33" s="20">
        <v>8.39</v>
      </c>
      <c r="M33" s="20">
        <v>4.2</v>
      </c>
      <c r="N33" s="21">
        <f t="shared" si="3"/>
        <v>4.1900000000000004</v>
      </c>
      <c r="O33" s="15"/>
      <c r="P33" s="13"/>
      <c r="Q33" s="15"/>
    </row>
    <row r="34" spans="1:17" ht="24" customHeight="1">
      <c r="A34" s="13" t="s">
        <v>57</v>
      </c>
      <c r="B34" s="14">
        <v>46270</v>
      </c>
      <c r="C34" s="13" t="s">
        <v>477</v>
      </c>
      <c r="D34" s="15" t="s">
        <v>481</v>
      </c>
      <c r="E34" s="16">
        <v>88</v>
      </c>
      <c r="F34" s="16">
        <v>79</v>
      </c>
      <c r="G34" s="18">
        <f t="shared" si="0"/>
        <v>9</v>
      </c>
      <c r="H34" s="17">
        <v>30</v>
      </c>
      <c r="I34" s="17">
        <v>0</v>
      </c>
      <c r="J34" s="19">
        <f t="shared" si="1"/>
        <v>0</v>
      </c>
      <c r="K34" s="21">
        <f t="shared" si="2"/>
        <v>18</v>
      </c>
      <c r="L34" s="20">
        <v>7.7</v>
      </c>
      <c r="M34" s="20">
        <v>7.1</v>
      </c>
      <c r="N34" s="21">
        <f t="shared" si="3"/>
        <v>0.60000000000000053</v>
      </c>
      <c r="O34" s="15"/>
      <c r="P34" s="13"/>
      <c r="Q34" s="15"/>
    </row>
    <row r="35" spans="1:17" ht="24" customHeight="1">
      <c r="A35" s="13" t="s">
        <v>58</v>
      </c>
      <c r="B35" s="14">
        <v>46271</v>
      </c>
      <c r="C35" s="13" t="s">
        <v>479</v>
      </c>
      <c r="D35" s="15" t="s">
        <v>481</v>
      </c>
      <c r="E35" s="16">
        <v>99</v>
      </c>
      <c r="F35" s="16">
        <v>90</v>
      </c>
      <c r="G35" s="18">
        <f t="shared" si="0"/>
        <v>9</v>
      </c>
      <c r="H35" s="17">
        <v>20</v>
      </c>
      <c r="I35" s="17"/>
      <c r="J35" s="19" t="str">
        <f t="shared" si="1"/>
        <v/>
      </c>
      <c r="K35" s="21">
        <f t="shared" si="2"/>
        <v>27</v>
      </c>
      <c r="L35" s="20">
        <v>8.89</v>
      </c>
      <c r="M35" s="20">
        <v>8.23</v>
      </c>
      <c r="N35" s="21">
        <f t="shared" si="3"/>
        <v>0.66000000000000014</v>
      </c>
      <c r="O35" s="15"/>
      <c r="P35" s="13"/>
      <c r="Q35" s="15"/>
    </row>
    <row r="36" spans="1:17" ht="24" customHeight="1">
      <c r="A36" s="13" t="s">
        <v>59</v>
      </c>
      <c r="B36" s="14">
        <v>46272</v>
      </c>
      <c r="C36" s="13" t="s">
        <v>479</v>
      </c>
      <c r="D36" s="15" t="s">
        <v>481</v>
      </c>
      <c r="E36" s="16">
        <v>99</v>
      </c>
      <c r="F36" s="16">
        <v>90</v>
      </c>
      <c r="G36" s="18">
        <f t="shared" si="0"/>
        <v>9</v>
      </c>
      <c r="H36" s="17">
        <v>25</v>
      </c>
      <c r="I36" s="17"/>
      <c r="J36" s="19" t="str">
        <f t="shared" si="1"/>
        <v/>
      </c>
      <c r="K36" s="21">
        <f t="shared" si="2"/>
        <v>21.6</v>
      </c>
      <c r="L36" s="20">
        <v>8.89</v>
      </c>
      <c r="M36" s="20">
        <v>8.24</v>
      </c>
      <c r="N36" s="21">
        <f t="shared" si="3"/>
        <v>0.65000000000000036</v>
      </c>
      <c r="O36" s="15"/>
      <c r="P36" s="13"/>
      <c r="Q36" s="15"/>
    </row>
    <row r="37" spans="1:17" ht="24" customHeight="1">
      <c r="A37" s="13" t="s">
        <v>60</v>
      </c>
      <c r="B37" s="14">
        <v>46273</v>
      </c>
      <c r="C37" s="13" t="s">
        <v>480</v>
      </c>
      <c r="D37" s="15" t="s">
        <v>481</v>
      </c>
      <c r="E37" s="16">
        <v>99</v>
      </c>
      <c r="F37" s="16">
        <v>91</v>
      </c>
      <c r="G37" s="18">
        <f t="shared" si="0"/>
        <v>8</v>
      </c>
      <c r="H37" s="17">
        <v>20</v>
      </c>
      <c r="I37" s="17"/>
      <c r="J37" s="19" t="str">
        <f t="shared" si="1"/>
        <v/>
      </c>
      <c r="K37" s="21">
        <f t="shared" si="2"/>
        <v>24</v>
      </c>
      <c r="L37" s="20">
        <v>8.89</v>
      </c>
      <c r="M37" s="20">
        <v>8.3000000000000007</v>
      </c>
      <c r="N37" s="21">
        <f t="shared" si="3"/>
        <v>0.58999999999999986</v>
      </c>
      <c r="O37" s="15"/>
      <c r="P37" s="13"/>
      <c r="Q37" s="15"/>
    </row>
    <row r="38" spans="1:17" ht="24" customHeight="1">
      <c r="A38" s="13" t="s">
        <v>61</v>
      </c>
      <c r="B38" s="14">
        <v>46274</v>
      </c>
      <c r="C38" s="13" t="s">
        <v>479</v>
      </c>
      <c r="D38" s="15" t="s">
        <v>481</v>
      </c>
      <c r="E38" s="16">
        <v>99</v>
      </c>
      <c r="F38" s="16">
        <v>92</v>
      </c>
      <c r="G38" s="18">
        <f t="shared" si="0"/>
        <v>7</v>
      </c>
      <c r="H38" s="17">
        <v>23</v>
      </c>
      <c r="I38" s="17"/>
      <c r="J38" s="19" t="str">
        <f t="shared" si="1"/>
        <v/>
      </c>
      <c r="K38" s="21">
        <f t="shared" si="2"/>
        <v>18.260869565217391</v>
      </c>
      <c r="L38" s="20">
        <v>8.89</v>
      </c>
      <c r="M38" s="20">
        <v>8.1</v>
      </c>
      <c r="N38" s="21">
        <f t="shared" si="3"/>
        <v>0.79000000000000092</v>
      </c>
      <c r="O38" s="15"/>
      <c r="P38" s="13"/>
      <c r="Q38" s="15"/>
    </row>
    <row r="39" spans="1:17" ht="24" customHeight="1">
      <c r="A39" s="13" t="s">
        <v>62</v>
      </c>
      <c r="B39" s="14">
        <v>46274</v>
      </c>
      <c r="C39" s="13" t="s">
        <v>479</v>
      </c>
      <c r="D39" s="15" t="s">
        <v>481</v>
      </c>
      <c r="E39" s="16">
        <v>91</v>
      </c>
      <c r="F39" s="16">
        <v>79</v>
      </c>
      <c r="G39" s="18">
        <f t="shared" si="0"/>
        <v>12</v>
      </c>
      <c r="H39" s="17">
        <v>30</v>
      </c>
      <c r="I39" s="17"/>
      <c r="J39" s="19" t="str">
        <f t="shared" si="1"/>
        <v/>
      </c>
      <c r="K39" s="21">
        <f t="shared" si="2"/>
        <v>24</v>
      </c>
      <c r="L39" s="20">
        <v>8.0299999999999994</v>
      </c>
      <c r="M39" s="20">
        <v>7.1</v>
      </c>
      <c r="N39" s="21">
        <f t="shared" si="3"/>
        <v>0.92999999999999972</v>
      </c>
      <c r="O39" s="15"/>
      <c r="P39" s="13"/>
      <c r="Q39" s="15"/>
    </row>
    <row r="40" spans="1:17" ht="24" customHeight="1">
      <c r="A40" s="13" t="s">
        <v>63</v>
      </c>
      <c r="B40" s="14"/>
      <c r="C40" s="13"/>
      <c r="D40" s="15"/>
      <c r="E40" s="16"/>
      <c r="F40" s="16"/>
      <c r="G40" s="18" t="str">
        <f t="shared" si="0"/>
        <v/>
      </c>
      <c r="H40" s="17"/>
      <c r="I40" s="17"/>
      <c r="J40" s="19" t="str">
        <f t="shared" si="1"/>
        <v/>
      </c>
      <c r="K40" s="21" t="str">
        <f t="shared" si="2"/>
        <v/>
      </c>
      <c r="L40" s="20"/>
      <c r="M40" s="20"/>
      <c r="N40" s="21" t="str">
        <f t="shared" si="3"/>
        <v/>
      </c>
      <c r="O40" s="15"/>
      <c r="P40" s="13"/>
      <c r="Q40" s="15"/>
    </row>
    <row r="41" spans="1:17" ht="24" customHeight="1">
      <c r="A41" s="13" t="s">
        <v>64</v>
      </c>
      <c r="B41" s="14"/>
      <c r="C41" s="13"/>
      <c r="D41" s="15"/>
      <c r="E41" s="16"/>
      <c r="F41" s="16"/>
      <c r="G41" s="18" t="str">
        <f t="shared" si="0"/>
        <v/>
      </c>
      <c r="H41" s="17"/>
      <c r="I41" s="17"/>
      <c r="J41" s="19" t="str">
        <f t="shared" si="1"/>
        <v/>
      </c>
      <c r="K41" s="21" t="str">
        <f t="shared" si="2"/>
        <v/>
      </c>
      <c r="L41" s="20"/>
      <c r="M41" s="20"/>
      <c r="N41" s="21" t="str">
        <f t="shared" si="3"/>
        <v/>
      </c>
      <c r="O41" s="15"/>
      <c r="P41" s="13"/>
      <c r="Q41" s="15"/>
    </row>
    <row r="42" spans="1:17" ht="24" customHeight="1">
      <c r="A42" s="13" t="s">
        <v>65</v>
      </c>
      <c r="B42" s="14"/>
      <c r="C42" s="13"/>
      <c r="D42" s="15"/>
      <c r="E42" s="16"/>
      <c r="F42" s="16"/>
      <c r="G42" s="18" t="str">
        <f t="shared" si="0"/>
        <v/>
      </c>
      <c r="H42" s="17"/>
      <c r="I42" s="17"/>
      <c r="J42" s="19" t="str">
        <f t="shared" si="1"/>
        <v/>
      </c>
      <c r="K42" s="21" t="str">
        <f t="shared" si="2"/>
        <v/>
      </c>
      <c r="L42" s="20"/>
      <c r="M42" s="20"/>
      <c r="N42" s="21" t="str">
        <f t="shared" si="3"/>
        <v/>
      </c>
      <c r="O42" s="15"/>
      <c r="P42" s="13"/>
      <c r="Q42" s="15"/>
    </row>
    <row r="43" spans="1:17" ht="24" customHeight="1">
      <c r="A43" s="13" t="s">
        <v>66</v>
      </c>
      <c r="B43" s="14"/>
      <c r="C43" s="13"/>
      <c r="D43" s="15"/>
      <c r="E43" s="16"/>
      <c r="F43" s="16"/>
      <c r="G43" s="18" t="str">
        <f t="shared" si="0"/>
        <v/>
      </c>
      <c r="H43" s="17"/>
      <c r="I43" s="17"/>
      <c r="J43" s="19" t="str">
        <f t="shared" si="1"/>
        <v/>
      </c>
      <c r="K43" s="21" t="str">
        <f t="shared" si="2"/>
        <v/>
      </c>
      <c r="L43" s="20"/>
      <c r="M43" s="20"/>
      <c r="N43" s="21" t="str">
        <f t="shared" si="3"/>
        <v/>
      </c>
      <c r="O43" s="15"/>
      <c r="P43" s="13"/>
      <c r="Q43" s="15"/>
    </row>
    <row r="44" spans="1:17" ht="24" customHeight="1">
      <c r="A44" s="13" t="s">
        <v>67</v>
      </c>
      <c r="B44" s="14"/>
      <c r="C44" s="13"/>
      <c r="D44" s="15"/>
      <c r="E44" s="16"/>
      <c r="F44" s="16"/>
      <c r="G44" s="18" t="str">
        <f t="shared" si="0"/>
        <v/>
      </c>
      <c r="H44" s="17"/>
      <c r="I44" s="17"/>
      <c r="J44" s="19" t="str">
        <f t="shared" si="1"/>
        <v/>
      </c>
      <c r="K44" s="21" t="str">
        <f t="shared" si="2"/>
        <v/>
      </c>
      <c r="L44" s="20"/>
      <c r="M44" s="20"/>
      <c r="N44" s="21" t="str">
        <f t="shared" si="3"/>
        <v/>
      </c>
      <c r="O44" s="15"/>
      <c r="P44" s="13"/>
      <c r="Q44" s="15"/>
    </row>
    <row r="45" spans="1:17" ht="24" customHeight="1">
      <c r="A45" s="13" t="s">
        <v>68</v>
      </c>
      <c r="B45" s="14"/>
      <c r="C45" s="13"/>
      <c r="D45" s="15"/>
      <c r="E45" s="16"/>
      <c r="F45" s="16"/>
      <c r="G45" s="18" t="str">
        <f t="shared" si="0"/>
        <v/>
      </c>
      <c r="H45" s="17"/>
      <c r="I45" s="17"/>
      <c r="J45" s="19" t="str">
        <f t="shared" si="1"/>
        <v/>
      </c>
      <c r="K45" s="21" t="str">
        <f t="shared" si="2"/>
        <v/>
      </c>
      <c r="L45" s="20"/>
      <c r="M45" s="20"/>
      <c r="N45" s="21" t="str">
        <f t="shared" si="3"/>
        <v/>
      </c>
      <c r="O45" s="15"/>
      <c r="P45" s="13"/>
      <c r="Q45" s="15"/>
    </row>
    <row r="46" spans="1:17" ht="24" customHeight="1">
      <c r="A46" s="13" t="s">
        <v>69</v>
      </c>
      <c r="B46" s="14"/>
      <c r="C46" s="13"/>
      <c r="D46" s="15"/>
      <c r="E46" s="16"/>
      <c r="F46" s="16"/>
      <c r="G46" s="18" t="str">
        <f t="shared" si="0"/>
        <v/>
      </c>
      <c r="H46" s="17"/>
      <c r="I46" s="17"/>
      <c r="J46" s="19" t="str">
        <f t="shared" si="1"/>
        <v/>
      </c>
      <c r="K46" s="21" t="str">
        <f t="shared" si="2"/>
        <v/>
      </c>
      <c r="L46" s="20"/>
      <c r="M46" s="20"/>
      <c r="N46" s="21" t="str">
        <f t="shared" si="3"/>
        <v/>
      </c>
      <c r="O46" s="15"/>
      <c r="P46" s="13"/>
      <c r="Q46" s="15"/>
    </row>
    <row r="47" spans="1:17" ht="24" customHeight="1">
      <c r="A47" s="13" t="s">
        <v>70</v>
      </c>
      <c r="B47" s="14"/>
      <c r="C47" s="13"/>
      <c r="D47" s="15"/>
      <c r="E47" s="16"/>
      <c r="F47" s="16"/>
      <c r="G47" s="18" t="str">
        <f t="shared" si="0"/>
        <v/>
      </c>
      <c r="H47" s="17"/>
      <c r="I47" s="17"/>
      <c r="J47" s="19" t="str">
        <f t="shared" si="1"/>
        <v/>
      </c>
      <c r="K47" s="21" t="str">
        <f t="shared" si="2"/>
        <v/>
      </c>
      <c r="L47" s="20"/>
      <c r="M47" s="20"/>
      <c r="N47" s="21" t="str">
        <f t="shared" si="3"/>
        <v/>
      </c>
      <c r="O47" s="15"/>
      <c r="P47" s="13"/>
      <c r="Q47" s="15"/>
    </row>
    <row r="48" spans="1:17" ht="24" customHeight="1">
      <c r="A48" s="13" t="s">
        <v>71</v>
      </c>
      <c r="B48" s="14"/>
      <c r="C48" s="13"/>
      <c r="D48" s="15"/>
      <c r="E48" s="16"/>
      <c r="F48" s="16"/>
      <c r="G48" s="18" t="str">
        <f t="shared" si="0"/>
        <v/>
      </c>
      <c r="H48" s="17"/>
      <c r="I48" s="17"/>
      <c r="J48" s="19" t="str">
        <f t="shared" si="1"/>
        <v/>
      </c>
      <c r="K48" s="21" t="str">
        <f t="shared" si="2"/>
        <v/>
      </c>
      <c r="L48" s="20"/>
      <c r="M48" s="20"/>
      <c r="N48" s="21" t="str">
        <f t="shared" si="3"/>
        <v/>
      </c>
      <c r="O48" s="15"/>
      <c r="P48" s="13"/>
      <c r="Q48" s="15"/>
    </row>
    <row r="49" spans="1:17" ht="24" customHeight="1">
      <c r="A49" s="13" t="s">
        <v>72</v>
      </c>
      <c r="B49" s="14"/>
      <c r="C49" s="13"/>
      <c r="D49" s="15"/>
      <c r="E49" s="16"/>
      <c r="F49" s="16"/>
      <c r="G49" s="18" t="str">
        <f t="shared" si="0"/>
        <v/>
      </c>
      <c r="H49" s="17"/>
      <c r="I49" s="17"/>
      <c r="J49" s="19" t="str">
        <f t="shared" si="1"/>
        <v/>
      </c>
      <c r="K49" s="21" t="str">
        <f t="shared" si="2"/>
        <v/>
      </c>
      <c r="L49" s="20"/>
      <c r="M49" s="20"/>
      <c r="N49" s="21" t="str">
        <f t="shared" si="3"/>
        <v/>
      </c>
      <c r="O49" s="15"/>
      <c r="P49" s="13"/>
      <c r="Q49" s="15"/>
    </row>
    <row r="50" spans="1:17" ht="24" customHeight="1">
      <c r="A50" s="13" t="s">
        <v>73</v>
      </c>
      <c r="B50" s="14"/>
      <c r="C50" s="13"/>
      <c r="D50" s="15"/>
      <c r="E50" s="16"/>
      <c r="F50" s="16"/>
      <c r="G50" s="18" t="str">
        <f t="shared" si="0"/>
        <v/>
      </c>
      <c r="H50" s="17"/>
      <c r="I50" s="17"/>
      <c r="J50" s="19" t="str">
        <f t="shared" si="1"/>
        <v/>
      </c>
      <c r="K50" s="21" t="str">
        <f t="shared" si="2"/>
        <v/>
      </c>
      <c r="L50" s="20"/>
      <c r="M50" s="20"/>
      <c r="N50" s="21" t="str">
        <f t="shared" si="3"/>
        <v/>
      </c>
      <c r="O50" s="15"/>
      <c r="P50" s="13"/>
      <c r="Q50" s="15"/>
    </row>
    <row r="51" spans="1:17" ht="24" customHeight="1">
      <c r="A51" s="13" t="s">
        <v>74</v>
      </c>
      <c r="B51" s="14"/>
      <c r="C51" s="13"/>
      <c r="D51" s="15"/>
      <c r="E51" s="16"/>
      <c r="F51" s="16"/>
      <c r="G51" s="18" t="str">
        <f t="shared" si="0"/>
        <v/>
      </c>
      <c r="H51" s="17"/>
      <c r="I51" s="17"/>
      <c r="J51" s="19" t="str">
        <f t="shared" si="1"/>
        <v/>
      </c>
      <c r="K51" s="21" t="str">
        <f t="shared" si="2"/>
        <v/>
      </c>
      <c r="L51" s="20"/>
      <c r="M51" s="20"/>
      <c r="N51" s="21" t="str">
        <f t="shared" si="3"/>
        <v/>
      </c>
      <c r="O51" s="15"/>
      <c r="P51" s="13"/>
      <c r="Q51" s="15"/>
    </row>
    <row r="52" spans="1:17" ht="24" customHeight="1">
      <c r="A52" s="13" t="s">
        <v>75</v>
      </c>
      <c r="B52" s="14"/>
      <c r="C52" s="13"/>
      <c r="D52" s="15"/>
      <c r="E52" s="16"/>
      <c r="F52" s="16"/>
      <c r="G52" s="18" t="str">
        <f t="shared" si="0"/>
        <v/>
      </c>
      <c r="H52" s="17"/>
      <c r="I52" s="17"/>
      <c r="J52" s="19" t="str">
        <f t="shared" si="1"/>
        <v/>
      </c>
      <c r="K52" s="21" t="str">
        <f t="shared" si="2"/>
        <v/>
      </c>
      <c r="L52" s="20"/>
      <c r="M52" s="20"/>
      <c r="N52" s="21" t="str">
        <f t="shared" si="3"/>
        <v/>
      </c>
      <c r="O52" s="15"/>
      <c r="P52" s="13"/>
      <c r="Q52" s="15"/>
    </row>
    <row r="53" spans="1:17" ht="24" customHeight="1">
      <c r="A53" s="13" t="s">
        <v>76</v>
      </c>
      <c r="B53" s="14"/>
      <c r="C53" s="13"/>
      <c r="D53" s="15"/>
      <c r="E53" s="16"/>
      <c r="F53" s="16"/>
      <c r="G53" s="18" t="str">
        <f t="shared" si="0"/>
        <v/>
      </c>
      <c r="H53" s="17"/>
      <c r="I53" s="17"/>
      <c r="J53" s="19" t="str">
        <f t="shared" si="1"/>
        <v/>
      </c>
      <c r="K53" s="21" t="str">
        <f t="shared" si="2"/>
        <v/>
      </c>
      <c r="L53" s="20"/>
      <c r="M53" s="20"/>
      <c r="N53" s="21" t="str">
        <f t="shared" si="3"/>
        <v/>
      </c>
      <c r="O53" s="15"/>
      <c r="P53" s="13"/>
      <c r="Q53" s="15"/>
    </row>
    <row r="54" spans="1:17" ht="24" customHeight="1">
      <c r="A54" s="13" t="s">
        <v>77</v>
      </c>
      <c r="B54" s="14"/>
      <c r="C54" s="13"/>
      <c r="D54" s="15"/>
      <c r="E54" s="16"/>
      <c r="F54" s="16"/>
      <c r="G54" s="18" t="str">
        <f t="shared" si="0"/>
        <v/>
      </c>
      <c r="H54" s="17"/>
      <c r="I54" s="17"/>
      <c r="J54" s="19" t="str">
        <f t="shared" si="1"/>
        <v/>
      </c>
      <c r="K54" s="21" t="str">
        <f t="shared" si="2"/>
        <v/>
      </c>
      <c r="L54" s="20"/>
      <c r="M54" s="20"/>
      <c r="N54" s="21" t="str">
        <f t="shared" si="3"/>
        <v/>
      </c>
      <c r="O54" s="15"/>
      <c r="P54" s="13"/>
      <c r="Q54" s="15"/>
    </row>
    <row r="55" spans="1:17" ht="24" customHeight="1">
      <c r="A55" s="13" t="s">
        <v>78</v>
      </c>
      <c r="B55" s="14"/>
      <c r="C55" s="13"/>
      <c r="D55" s="15"/>
      <c r="E55" s="16"/>
      <c r="F55" s="16"/>
      <c r="G55" s="18" t="str">
        <f t="shared" si="0"/>
        <v/>
      </c>
      <c r="H55" s="17"/>
      <c r="I55" s="17"/>
      <c r="J55" s="19" t="str">
        <f t="shared" si="1"/>
        <v/>
      </c>
      <c r="K55" s="21" t="str">
        <f t="shared" si="2"/>
        <v/>
      </c>
      <c r="L55" s="20"/>
      <c r="M55" s="20"/>
      <c r="N55" s="21" t="str">
        <f t="shared" si="3"/>
        <v/>
      </c>
      <c r="O55" s="15"/>
      <c r="P55" s="13"/>
      <c r="Q55" s="15"/>
    </row>
    <row r="56" spans="1:17" ht="24" customHeight="1">
      <c r="A56" s="13" t="s">
        <v>79</v>
      </c>
      <c r="B56" s="14"/>
      <c r="C56" s="13"/>
      <c r="D56" s="15"/>
      <c r="E56" s="16"/>
      <c r="F56" s="16"/>
      <c r="G56" s="18" t="str">
        <f t="shared" si="0"/>
        <v/>
      </c>
      <c r="H56" s="17"/>
      <c r="I56" s="17"/>
      <c r="J56" s="19" t="str">
        <f t="shared" si="1"/>
        <v/>
      </c>
      <c r="K56" s="21" t="str">
        <f t="shared" si="2"/>
        <v/>
      </c>
      <c r="L56" s="20"/>
      <c r="M56" s="20"/>
      <c r="N56" s="21" t="str">
        <f t="shared" si="3"/>
        <v/>
      </c>
      <c r="O56" s="15"/>
      <c r="P56" s="13"/>
      <c r="Q56" s="15"/>
    </row>
    <row r="57" spans="1:17" ht="24" customHeight="1">
      <c r="A57" s="13" t="s">
        <v>80</v>
      </c>
      <c r="B57" s="14"/>
      <c r="C57" s="13"/>
      <c r="D57" s="15"/>
      <c r="E57" s="16"/>
      <c r="F57" s="16"/>
      <c r="G57" s="18" t="str">
        <f t="shared" si="0"/>
        <v/>
      </c>
      <c r="H57" s="17"/>
      <c r="I57" s="17"/>
      <c r="J57" s="19" t="str">
        <f t="shared" si="1"/>
        <v/>
      </c>
      <c r="K57" s="21" t="str">
        <f t="shared" si="2"/>
        <v/>
      </c>
      <c r="L57" s="20"/>
      <c r="M57" s="20"/>
      <c r="N57" s="21" t="str">
        <f t="shared" si="3"/>
        <v/>
      </c>
      <c r="O57" s="15"/>
      <c r="P57" s="13"/>
      <c r="Q57" s="15"/>
    </row>
    <row r="58" spans="1:17" ht="24" customHeight="1">
      <c r="A58" s="13" t="s">
        <v>81</v>
      </c>
      <c r="B58" s="14"/>
      <c r="C58" s="13"/>
      <c r="D58" s="15"/>
      <c r="E58" s="16"/>
      <c r="F58" s="16"/>
      <c r="G58" s="18" t="str">
        <f t="shared" si="0"/>
        <v/>
      </c>
      <c r="H58" s="17"/>
      <c r="I58" s="17"/>
      <c r="J58" s="19" t="str">
        <f t="shared" si="1"/>
        <v/>
      </c>
      <c r="K58" s="21" t="str">
        <f t="shared" si="2"/>
        <v/>
      </c>
      <c r="L58" s="20"/>
      <c r="M58" s="20"/>
      <c r="N58" s="21" t="str">
        <f t="shared" si="3"/>
        <v/>
      </c>
      <c r="O58" s="15"/>
      <c r="P58" s="13"/>
      <c r="Q58" s="15"/>
    </row>
    <row r="59" spans="1:17" ht="24" customHeight="1">
      <c r="A59" s="13" t="s">
        <v>82</v>
      </c>
      <c r="B59" s="14"/>
      <c r="C59" s="13"/>
      <c r="D59" s="15"/>
      <c r="E59" s="16"/>
      <c r="F59" s="16"/>
      <c r="G59" s="18" t="str">
        <f t="shared" si="0"/>
        <v/>
      </c>
      <c r="H59" s="17"/>
      <c r="I59" s="17"/>
      <c r="J59" s="19" t="str">
        <f t="shared" si="1"/>
        <v/>
      </c>
      <c r="K59" s="21" t="str">
        <f t="shared" si="2"/>
        <v/>
      </c>
      <c r="L59" s="20"/>
      <c r="M59" s="20"/>
      <c r="N59" s="21" t="str">
        <f t="shared" si="3"/>
        <v/>
      </c>
      <c r="O59" s="15"/>
      <c r="P59" s="13"/>
      <c r="Q59" s="15"/>
    </row>
    <row r="60" spans="1:17" ht="24" customHeight="1">
      <c r="A60" s="13" t="s">
        <v>83</v>
      </c>
      <c r="B60" s="14"/>
      <c r="C60" s="13"/>
      <c r="D60" s="15"/>
      <c r="E60" s="16"/>
      <c r="F60" s="16"/>
      <c r="G60" s="18" t="str">
        <f t="shared" si="0"/>
        <v/>
      </c>
      <c r="H60" s="17"/>
      <c r="I60" s="17"/>
      <c r="J60" s="19" t="str">
        <f t="shared" si="1"/>
        <v/>
      </c>
      <c r="K60" s="21" t="str">
        <f t="shared" si="2"/>
        <v/>
      </c>
      <c r="L60" s="20"/>
      <c r="M60" s="20"/>
      <c r="N60" s="21" t="str">
        <f t="shared" si="3"/>
        <v/>
      </c>
      <c r="O60" s="15"/>
      <c r="P60" s="13"/>
      <c r="Q60" s="15"/>
    </row>
    <row r="61" spans="1:17" ht="24" customHeight="1">
      <c r="A61" s="13" t="s">
        <v>84</v>
      </c>
      <c r="B61" s="14"/>
      <c r="C61" s="13"/>
      <c r="D61" s="15"/>
      <c r="E61" s="16"/>
      <c r="F61" s="16"/>
      <c r="G61" s="18" t="str">
        <f t="shared" si="0"/>
        <v/>
      </c>
      <c r="H61" s="17"/>
      <c r="I61" s="17"/>
      <c r="J61" s="19" t="str">
        <f t="shared" si="1"/>
        <v/>
      </c>
      <c r="K61" s="21" t="str">
        <f t="shared" si="2"/>
        <v/>
      </c>
      <c r="L61" s="20"/>
      <c r="M61" s="20"/>
      <c r="N61" s="21" t="str">
        <f t="shared" si="3"/>
        <v/>
      </c>
      <c r="O61" s="15"/>
      <c r="P61" s="13"/>
      <c r="Q61" s="15"/>
    </row>
    <row r="62" spans="1:17" ht="24" customHeight="1">
      <c r="A62" s="13" t="s">
        <v>85</v>
      </c>
      <c r="B62" s="14"/>
      <c r="C62" s="13"/>
      <c r="D62" s="15"/>
      <c r="E62" s="16"/>
      <c r="F62" s="16"/>
      <c r="G62" s="18" t="str">
        <f t="shared" si="0"/>
        <v/>
      </c>
      <c r="H62" s="17"/>
      <c r="I62" s="17"/>
      <c r="J62" s="19" t="str">
        <f t="shared" si="1"/>
        <v/>
      </c>
      <c r="K62" s="21" t="str">
        <f t="shared" si="2"/>
        <v/>
      </c>
      <c r="L62" s="20"/>
      <c r="M62" s="20"/>
      <c r="N62" s="21" t="str">
        <f t="shared" si="3"/>
        <v/>
      </c>
      <c r="O62" s="15"/>
      <c r="P62" s="13"/>
      <c r="Q62" s="15"/>
    </row>
    <row r="63" spans="1:17" ht="24" customHeight="1">
      <c r="A63" s="13" t="s">
        <v>86</v>
      </c>
      <c r="B63" s="14"/>
      <c r="C63" s="13"/>
      <c r="D63" s="15"/>
      <c r="E63" s="16"/>
      <c r="F63" s="16"/>
      <c r="G63" s="18" t="str">
        <f t="shared" si="0"/>
        <v/>
      </c>
      <c r="H63" s="17"/>
      <c r="I63" s="17"/>
      <c r="J63" s="19" t="str">
        <f t="shared" si="1"/>
        <v/>
      </c>
      <c r="K63" s="21" t="str">
        <f t="shared" si="2"/>
        <v/>
      </c>
      <c r="L63" s="20"/>
      <c r="M63" s="20"/>
      <c r="N63" s="21" t="str">
        <f t="shared" si="3"/>
        <v/>
      </c>
      <c r="O63" s="15"/>
      <c r="P63" s="13"/>
      <c r="Q63" s="15"/>
    </row>
    <row r="64" spans="1:17" ht="24" customHeight="1">
      <c r="A64" s="13" t="s">
        <v>87</v>
      </c>
      <c r="B64" s="14"/>
      <c r="C64" s="13"/>
      <c r="D64" s="15"/>
      <c r="E64" s="16"/>
      <c r="F64" s="16"/>
      <c r="G64" s="18" t="str">
        <f t="shared" si="0"/>
        <v/>
      </c>
      <c r="H64" s="17"/>
      <c r="I64" s="17"/>
      <c r="J64" s="19" t="str">
        <f t="shared" si="1"/>
        <v/>
      </c>
      <c r="K64" s="21" t="str">
        <f t="shared" si="2"/>
        <v/>
      </c>
      <c r="L64" s="20"/>
      <c r="M64" s="20"/>
      <c r="N64" s="21" t="str">
        <f t="shared" si="3"/>
        <v/>
      </c>
      <c r="O64" s="15"/>
      <c r="P64" s="13"/>
      <c r="Q64" s="15"/>
    </row>
    <row r="65" spans="1:17" ht="24" customHeight="1">
      <c r="A65" s="13" t="s">
        <v>88</v>
      </c>
      <c r="B65" s="14"/>
      <c r="C65" s="13"/>
      <c r="D65" s="15"/>
      <c r="E65" s="16"/>
      <c r="F65" s="16"/>
      <c r="G65" s="18" t="str">
        <f t="shared" si="0"/>
        <v/>
      </c>
      <c r="H65" s="17"/>
      <c r="I65" s="17"/>
      <c r="J65" s="19" t="str">
        <f t="shared" si="1"/>
        <v/>
      </c>
      <c r="K65" s="21" t="str">
        <f t="shared" si="2"/>
        <v/>
      </c>
      <c r="L65" s="20"/>
      <c r="M65" s="20"/>
      <c r="N65" s="21" t="str">
        <f t="shared" si="3"/>
        <v/>
      </c>
      <c r="O65" s="15"/>
      <c r="P65" s="13"/>
      <c r="Q65" s="15"/>
    </row>
    <row r="66" spans="1:17" ht="24" customHeight="1">
      <c r="A66" s="13" t="s">
        <v>89</v>
      </c>
      <c r="B66" s="14"/>
      <c r="C66" s="13"/>
      <c r="D66" s="15"/>
      <c r="E66" s="16"/>
      <c r="F66" s="16"/>
      <c r="G66" s="18" t="str">
        <f t="shared" si="0"/>
        <v/>
      </c>
      <c r="H66" s="17"/>
      <c r="I66" s="17"/>
      <c r="J66" s="19" t="str">
        <f t="shared" si="1"/>
        <v/>
      </c>
      <c r="K66" s="21" t="str">
        <f t="shared" si="2"/>
        <v/>
      </c>
      <c r="L66" s="20"/>
      <c r="M66" s="20"/>
      <c r="N66" s="21" t="str">
        <f t="shared" si="3"/>
        <v/>
      </c>
      <c r="O66" s="15"/>
      <c r="P66" s="13"/>
      <c r="Q66" s="15"/>
    </row>
    <row r="67" spans="1:17" ht="24" customHeight="1">
      <c r="A67" s="13" t="s">
        <v>90</v>
      </c>
      <c r="B67" s="14"/>
      <c r="C67" s="13"/>
      <c r="D67" s="15"/>
      <c r="E67" s="16"/>
      <c r="F67" s="16"/>
      <c r="G67" s="18" t="str">
        <f t="shared" si="0"/>
        <v/>
      </c>
      <c r="H67" s="17"/>
      <c r="I67" s="17"/>
      <c r="J67" s="19" t="str">
        <f t="shared" si="1"/>
        <v/>
      </c>
      <c r="K67" s="21" t="str">
        <f t="shared" si="2"/>
        <v/>
      </c>
      <c r="L67" s="20"/>
      <c r="M67" s="20"/>
      <c r="N67" s="21" t="str">
        <f t="shared" si="3"/>
        <v/>
      </c>
      <c r="O67" s="15"/>
      <c r="P67" s="13"/>
      <c r="Q67" s="15"/>
    </row>
    <row r="68" spans="1:17" ht="24" customHeight="1">
      <c r="A68" s="13" t="s">
        <v>91</v>
      </c>
      <c r="B68" s="14"/>
      <c r="C68" s="13"/>
      <c r="D68" s="15"/>
      <c r="E68" s="16"/>
      <c r="F68" s="16"/>
      <c r="G68" s="18" t="str">
        <f t="shared" si="0"/>
        <v/>
      </c>
      <c r="H68" s="17"/>
      <c r="I68" s="17"/>
      <c r="J68" s="19" t="str">
        <f t="shared" si="1"/>
        <v/>
      </c>
      <c r="K68" s="21" t="str">
        <f t="shared" si="2"/>
        <v/>
      </c>
      <c r="L68" s="20"/>
      <c r="M68" s="20"/>
      <c r="N68" s="21" t="str">
        <f t="shared" si="3"/>
        <v/>
      </c>
      <c r="O68" s="15"/>
      <c r="P68" s="13"/>
      <c r="Q68" s="15"/>
    </row>
    <row r="69" spans="1:17" ht="24" customHeight="1">
      <c r="A69" s="13" t="s">
        <v>92</v>
      </c>
      <c r="B69" s="14"/>
      <c r="C69" s="13"/>
      <c r="D69" s="15"/>
      <c r="E69" s="16"/>
      <c r="F69" s="16"/>
      <c r="G69" s="18" t="str">
        <f t="shared" si="0"/>
        <v/>
      </c>
      <c r="H69" s="17"/>
      <c r="I69" s="17"/>
      <c r="J69" s="19" t="str">
        <f t="shared" si="1"/>
        <v/>
      </c>
      <c r="K69" s="21" t="str">
        <f t="shared" si="2"/>
        <v/>
      </c>
      <c r="L69" s="20"/>
      <c r="M69" s="20"/>
      <c r="N69" s="21" t="str">
        <f t="shared" si="3"/>
        <v/>
      </c>
      <c r="O69" s="15"/>
      <c r="P69" s="13"/>
      <c r="Q69" s="15"/>
    </row>
    <row r="70" spans="1:17" ht="24" customHeight="1">
      <c r="A70" s="13" t="s">
        <v>93</v>
      </c>
      <c r="B70" s="14"/>
      <c r="C70" s="13"/>
      <c r="D70" s="15"/>
      <c r="E70" s="16"/>
      <c r="F70" s="16"/>
      <c r="G70" s="18" t="str">
        <f t="shared" si="0"/>
        <v/>
      </c>
      <c r="H70" s="17"/>
      <c r="I70" s="17"/>
      <c r="J70" s="19" t="str">
        <f t="shared" si="1"/>
        <v/>
      </c>
      <c r="K70" s="21" t="str">
        <f t="shared" si="2"/>
        <v/>
      </c>
      <c r="L70" s="20"/>
      <c r="M70" s="20"/>
      <c r="N70" s="21" t="str">
        <f t="shared" si="3"/>
        <v/>
      </c>
      <c r="O70" s="15"/>
      <c r="P70" s="13"/>
      <c r="Q70" s="15"/>
    </row>
  </sheetData>
  <mergeCells count="19">
    <mergeCell ref="M24:Q26"/>
    <mergeCell ref="B17:Q17"/>
    <mergeCell ref="B18:Q18"/>
    <mergeCell ref="B19:Q19"/>
    <mergeCell ref="B20:Q20"/>
    <mergeCell ref="B21:Q21"/>
    <mergeCell ref="B13:D13"/>
    <mergeCell ref="G13:I13"/>
    <mergeCell ref="L13:Q13"/>
    <mergeCell ref="B14:D14"/>
    <mergeCell ref="G14:I14"/>
    <mergeCell ref="L14:Q14"/>
    <mergeCell ref="B6:Q6"/>
    <mergeCell ref="B7:Q7"/>
    <mergeCell ref="B8:Q8"/>
    <mergeCell ref="B9:Q9"/>
    <mergeCell ref="B12:D12"/>
    <mergeCell ref="G12:I12"/>
    <mergeCell ref="L12:Q12"/>
  </mergeCells>
  <dataValidations count="1">
    <dataValidation type="list" sqref="C31:C70" xr:uid="{00000000-0002-0000-0000-000000000000}">
      <formula1>"Development,Testing,Demo,Standby,Controlled"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Q50"/>
  <sheetViews>
    <sheetView showGridLines="0" workbookViewId="0">
      <selection activeCell="G14" sqref="G14:I14"/>
    </sheetView>
  </sheetViews>
  <sheetFormatPr defaultRowHeight="13.5"/>
  <cols>
    <col min="1" max="1" width="17" customWidth="1"/>
    <col min="2" max="2" width="12" customWidth="1"/>
    <col min="3" max="3" width="13" customWidth="1"/>
    <col min="4" max="4" width="14" customWidth="1"/>
    <col min="5" max="5" width="17" customWidth="1"/>
    <col min="6" max="8" width="18" customWidth="1"/>
    <col min="9" max="9" width="11" customWidth="1"/>
    <col min="10" max="10" width="14" customWidth="1"/>
    <col min="11" max="11" width="17" customWidth="1"/>
    <col min="12" max="12" width="13" customWidth="1"/>
    <col min="13" max="13" width="17" customWidth="1"/>
    <col min="14" max="14" width="23" customWidth="1"/>
    <col min="15" max="15" width="30" customWidth="1"/>
  </cols>
  <sheetData>
    <row r="1" spans="1:17" ht="8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5.05" customHeight="1">
      <c r="A2" s="1" t="s">
        <v>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22.05" customHeight="1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31.05" customHeight="1">
      <c r="A6" s="6" t="s">
        <v>3</v>
      </c>
      <c r="B6" s="26" t="s">
        <v>95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ht="31.05" customHeight="1">
      <c r="A7" s="6" t="s">
        <v>5</v>
      </c>
      <c r="B7" s="26" t="s">
        <v>96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1.05" customHeight="1">
      <c r="A8" s="6" t="s">
        <v>7</v>
      </c>
      <c r="B8" s="26" t="s">
        <v>97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ht="38" customHeight="1">
      <c r="A9" s="6" t="s">
        <v>9</v>
      </c>
      <c r="B9" s="26" t="s">
        <v>98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ht="8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2.05" customHeight="1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ht="29" customHeight="1">
      <c r="A12" s="7" t="s">
        <v>12</v>
      </c>
      <c r="B12" s="29" t="s">
        <v>468</v>
      </c>
      <c r="C12" s="30"/>
      <c r="D12" s="31"/>
      <c r="E12" s="22"/>
      <c r="F12" s="7" t="s">
        <v>99</v>
      </c>
      <c r="G12" s="29" t="s">
        <v>482</v>
      </c>
      <c r="H12" s="30"/>
      <c r="I12" s="31"/>
      <c r="J12" s="22"/>
      <c r="K12" s="7" t="s">
        <v>100</v>
      </c>
      <c r="L12" s="29"/>
      <c r="M12" s="30"/>
      <c r="N12" s="30"/>
      <c r="O12" s="30"/>
      <c r="P12" s="30"/>
      <c r="Q12" s="31"/>
    </row>
    <row r="13" spans="1:17" ht="29" customHeight="1">
      <c r="A13" s="7" t="s">
        <v>101</v>
      </c>
      <c r="B13" s="29"/>
      <c r="C13" s="30"/>
      <c r="D13" s="31"/>
      <c r="E13" s="22"/>
      <c r="F13" s="7" t="s">
        <v>102</v>
      </c>
      <c r="G13" s="29"/>
      <c r="H13" s="30"/>
      <c r="I13" s="31"/>
      <c r="J13" s="22"/>
      <c r="K13" s="7" t="s">
        <v>103</v>
      </c>
      <c r="L13" s="29" t="s">
        <v>483</v>
      </c>
      <c r="M13" s="30"/>
      <c r="N13" s="30"/>
      <c r="O13" s="30"/>
      <c r="P13" s="30"/>
      <c r="Q13" s="31"/>
    </row>
    <row r="14" spans="1:17" ht="29" customHeight="1">
      <c r="A14" s="7" t="s">
        <v>105</v>
      </c>
      <c r="B14" s="29" t="s">
        <v>106</v>
      </c>
      <c r="C14" s="30"/>
      <c r="D14" s="31"/>
      <c r="E14" s="22"/>
      <c r="F14" s="7" t="s">
        <v>107</v>
      </c>
      <c r="G14" s="29" t="s">
        <v>108</v>
      </c>
      <c r="H14" s="30"/>
      <c r="I14" s="31"/>
      <c r="J14" s="22"/>
      <c r="K14" s="7" t="s">
        <v>109</v>
      </c>
      <c r="L14" s="29" t="s">
        <v>22</v>
      </c>
      <c r="M14" s="30"/>
      <c r="N14" s="30"/>
      <c r="O14" s="30"/>
      <c r="P14" s="30"/>
      <c r="Q14" s="31"/>
    </row>
    <row r="15" spans="1:17" ht="8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22.05" customHeight="1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ht="28.05" customHeight="1">
      <c r="A17" s="8">
        <v>1</v>
      </c>
      <c r="B17" s="26" t="s">
        <v>110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1:17" ht="28.05" customHeight="1">
      <c r="A18" s="8">
        <v>2</v>
      </c>
      <c r="B18" s="26" t="s">
        <v>111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1:17" ht="28.05" customHeight="1">
      <c r="A19" s="8">
        <v>3</v>
      </c>
      <c r="B19" s="26" t="s">
        <v>112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28.05" customHeight="1">
      <c r="A20" s="8">
        <v>4</v>
      </c>
      <c r="B20" s="26" t="s">
        <v>113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8.05" customHeight="1">
      <c r="A21" s="8">
        <v>5</v>
      </c>
      <c r="B21" s="26" t="s">
        <v>114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1:17" ht="8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22.05" customHeight="1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spans="1:17" ht="30" customHeight="1">
      <c r="A24" s="7" t="s">
        <v>115</v>
      </c>
      <c r="B24" s="9">
        <f>COUNT(F31:F50)</f>
        <v>0</v>
      </c>
      <c r="C24" s="22"/>
      <c r="D24" s="7" t="s">
        <v>116</v>
      </c>
      <c r="E24" s="10" t="str">
        <f>IF(COUNT(F31:F50)=0,"n.a.",AVERAGE(F31:F50))</f>
        <v>n.a.</v>
      </c>
      <c r="F24" s="22"/>
      <c r="G24" s="7" t="s">
        <v>117</v>
      </c>
      <c r="H24" s="10" t="str">
        <f>IF(COUNT(E31:E50)=0,"n.a.",AVERAGE(E31:E50))</f>
        <v>n.a.</v>
      </c>
      <c r="I24" s="22"/>
      <c r="J24" s="7" t="s">
        <v>118</v>
      </c>
      <c r="K24" s="10" t="str">
        <f>IF(COUNT(H31:H50)=0,"n.a.",AVERAGE(H31:H50))</f>
        <v>n.a.</v>
      </c>
      <c r="L24" s="22"/>
      <c r="M24" s="32" t="s">
        <v>33</v>
      </c>
      <c r="N24" s="33"/>
      <c r="O24" s="33"/>
      <c r="P24" s="33"/>
      <c r="Q24" s="34"/>
    </row>
    <row r="25" spans="1:17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5"/>
      <c r="N25" s="36"/>
      <c r="O25" s="36"/>
      <c r="P25" s="36"/>
      <c r="Q25" s="37"/>
    </row>
    <row r="26" spans="1:17" ht="30" customHeight="1">
      <c r="A26" s="7" t="s">
        <v>119</v>
      </c>
      <c r="B26" s="23" t="str">
        <f>IF(COUNT(J31:J50)=0,"n.a.",AVERAGE(J31:J50))</f>
        <v>n.a.</v>
      </c>
      <c r="C26" s="22"/>
      <c r="D26" s="7" t="s">
        <v>120</v>
      </c>
      <c r="E26" s="11" t="str">
        <f>IF((COUNTIFS(M31:M50,"Pass")+COUNTIFS(M31:M50,"Fail"))=0,"n.a.",COUNTIFS(M31:M50,"Pass")/(COUNTIFS(M31:M50,"Pass")+COUNTIFS(M31:M50,"Fail")))</f>
        <v>n.a.</v>
      </c>
      <c r="F26" s="22"/>
      <c r="G26" s="22"/>
      <c r="H26" s="22"/>
      <c r="I26" s="22"/>
      <c r="J26" s="22"/>
      <c r="K26" s="22"/>
      <c r="L26" s="22"/>
      <c r="M26" s="38"/>
      <c r="N26" s="39"/>
      <c r="O26" s="39"/>
      <c r="P26" s="39"/>
      <c r="Q26" s="40"/>
    </row>
    <row r="27" spans="1:17" ht="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8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22.05" customHeight="1">
      <c r="A29" s="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42" customHeight="1">
      <c r="A30" s="12" t="s">
        <v>121</v>
      </c>
      <c r="B30" s="12" t="s">
        <v>38</v>
      </c>
      <c r="C30" s="12" t="s">
        <v>122</v>
      </c>
      <c r="D30" s="12" t="s">
        <v>123</v>
      </c>
      <c r="E30" s="12" t="s">
        <v>124</v>
      </c>
      <c r="F30" s="12" t="s">
        <v>125</v>
      </c>
      <c r="G30" s="12" t="s">
        <v>126</v>
      </c>
      <c r="H30" s="12" t="s">
        <v>127</v>
      </c>
      <c r="I30" s="12" t="s">
        <v>128</v>
      </c>
      <c r="J30" s="12" t="s">
        <v>129</v>
      </c>
      <c r="K30" s="12" t="s">
        <v>41</v>
      </c>
      <c r="L30" s="12" t="s">
        <v>42</v>
      </c>
      <c r="M30" s="12" t="s">
        <v>130</v>
      </c>
      <c r="N30" s="12" t="s">
        <v>131</v>
      </c>
      <c r="O30" s="12" t="s">
        <v>53</v>
      </c>
      <c r="P30" s="22"/>
      <c r="Q30" s="22"/>
    </row>
    <row r="31" spans="1:17" ht="24" customHeight="1">
      <c r="A31" s="13" t="s">
        <v>132</v>
      </c>
      <c r="B31" s="14"/>
      <c r="C31" s="13"/>
      <c r="D31" s="20"/>
      <c r="E31" s="17"/>
      <c r="F31" s="21" t="str">
        <f t="shared" ref="F31:F50" si="0">IF(COUNT(D31,E31)&lt;2,"",IF(D31=0,"",ABS(E31)/D31))</f>
        <v/>
      </c>
      <c r="G31" s="17"/>
      <c r="H31" s="18" t="str">
        <f t="shared" ref="H31:H50" si="1">IF(COUNT(G31)=0,"",ABS(G31))</f>
        <v/>
      </c>
      <c r="I31" s="20"/>
      <c r="J31" s="24" t="str">
        <f t="shared" ref="J31:J50" si="2">IF(COUNT(D31,I31)&lt;2,"",IF(I31=0,"",D31/I31))</f>
        <v/>
      </c>
      <c r="K31" s="16"/>
      <c r="L31" s="16"/>
      <c r="M31" s="13"/>
      <c r="N31" s="13"/>
      <c r="O31" s="15"/>
      <c r="P31" s="22"/>
      <c r="Q31" s="22"/>
    </row>
    <row r="32" spans="1:17" ht="24" customHeight="1">
      <c r="A32" s="13" t="s">
        <v>133</v>
      </c>
      <c r="B32" s="14"/>
      <c r="C32" s="13"/>
      <c r="D32" s="20"/>
      <c r="E32" s="17"/>
      <c r="F32" s="21" t="str">
        <f t="shared" si="0"/>
        <v/>
      </c>
      <c r="G32" s="17"/>
      <c r="H32" s="18" t="str">
        <f t="shared" si="1"/>
        <v/>
      </c>
      <c r="I32" s="20"/>
      <c r="J32" s="24" t="str">
        <f t="shared" si="2"/>
        <v/>
      </c>
      <c r="K32" s="16"/>
      <c r="L32" s="16"/>
      <c r="M32" s="13"/>
      <c r="N32" s="13"/>
      <c r="O32" s="15"/>
      <c r="P32" s="22"/>
      <c r="Q32" s="22"/>
    </row>
    <row r="33" spans="1:17" ht="24" customHeight="1">
      <c r="A33" s="13" t="s">
        <v>134</v>
      </c>
      <c r="B33" s="14"/>
      <c r="C33" s="13"/>
      <c r="D33" s="20"/>
      <c r="E33" s="17"/>
      <c r="F33" s="21" t="str">
        <f t="shared" si="0"/>
        <v/>
      </c>
      <c r="G33" s="17"/>
      <c r="H33" s="18" t="str">
        <f t="shared" si="1"/>
        <v/>
      </c>
      <c r="I33" s="20"/>
      <c r="J33" s="24" t="str">
        <f t="shared" si="2"/>
        <v/>
      </c>
      <c r="K33" s="16"/>
      <c r="L33" s="16"/>
      <c r="M33" s="13"/>
      <c r="N33" s="13"/>
      <c r="O33" s="15"/>
      <c r="P33" s="22"/>
      <c r="Q33" s="22"/>
    </row>
    <row r="34" spans="1:17" ht="24" customHeight="1">
      <c r="A34" s="13" t="s">
        <v>135</v>
      </c>
      <c r="B34" s="14"/>
      <c r="C34" s="13"/>
      <c r="D34" s="20"/>
      <c r="E34" s="17"/>
      <c r="F34" s="21" t="str">
        <f t="shared" si="0"/>
        <v/>
      </c>
      <c r="G34" s="17"/>
      <c r="H34" s="18" t="str">
        <f t="shared" si="1"/>
        <v/>
      </c>
      <c r="I34" s="20"/>
      <c r="J34" s="24" t="str">
        <f t="shared" si="2"/>
        <v/>
      </c>
      <c r="K34" s="16"/>
      <c r="L34" s="16"/>
      <c r="M34" s="13"/>
      <c r="N34" s="13"/>
      <c r="O34" s="15"/>
      <c r="P34" s="22"/>
      <c r="Q34" s="22"/>
    </row>
    <row r="35" spans="1:17" ht="24" customHeight="1">
      <c r="A35" s="13" t="s">
        <v>136</v>
      </c>
      <c r="B35" s="14"/>
      <c r="C35" s="13"/>
      <c r="D35" s="20"/>
      <c r="E35" s="17"/>
      <c r="F35" s="21" t="str">
        <f t="shared" si="0"/>
        <v/>
      </c>
      <c r="G35" s="17"/>
      <c r="H35" s="18" t="str">
        <f t="shared" si="1"/>
        <v/>
      </c>
      <c r="I35" s="20"/>
      <c r="J35" s="24" t="str">
        <f t="shared" si="2"/>
        <v/>
      </c>
      <c r="K35" s="16"/>
      <c r="L35" s="16"/>
      <c r="M35" s="13"/>
      <c r="N35" s="13"/>
      <c r="O35" s="15"/>
      <c r="P35" s="22"/>
      <c r="Q35" s="22"/>
    </row>
    <row r="36" spans="1:17" ht="24" customHeight="1">
      <c r="A36" s="13" t="s">
        <v>137</v>
      </c>
      <c r="B36" s="14"/>
      <c r="C36" s="13"/>
      <c r="D36" s="20"/>
      <c r="E36" s="17"/>
      <c r="F36" s="21" t="str">
        <f t="shared" si="0"/>
        <v/>
      </c>
      <c r="G36" s="17"/>
      <c r="H36" s="18" t="str">
        <f t="shared" si="1"/>
        <v/>
      </c>
      <c r="I36" s="20"/>
      <c r="J36" s="24" t="str">
        <f t="shared" si="2"/>
        <v/>
      </c>
      <c r="K36" s="16"/>
      <c r="L36" s="16"/>
      <c r="M36" s="13"/>
      <c r="N36" s="13"/>
      <c r="O36" s="15"/>
      <c r="P36" s="22"/>
      <c r="Q36" s="22"/>
    </row>
    <row r="37" spans="1:17" ht="24" customHeight="1">
      <c r="A37" s="13" t="s">
        <v>138</v>
      </c>
      <c r="B37" s="14"/>
      <c r="C37" s="13"/>
      <c r="D37" s="20"/>
      <c r="E37" s="17"/>
      <c r="F37" s="21" t="str">
        <f t="shared" si="0"/>
        <v/>
      </c>
      <c r="G37" s="17"/>
      <c r="H37" s="18" t="str">
        <f t="shared" si="1"/>
        <v/>
      </c>
      <c r="I37" s="20"/>
      <c r="J37" s="24" t="str">
        <f t="shared" si="2"/>
        <v/>
      </c>
      <c r="K37" s="16"/>
      <c r="L37" s="16"/>
      <c r="M37" s="13"/>
      <c r="N37" s="13"/>
      <c r="O37" s="15"/>
      <c r="P37" s="22"/>
      <c r="Q37" s="22"/>
    </row>
    <row r="38" spans="1:17" ht="24" customHeight="1">
      <c r="A38" s="13" t="s">
        <v>139</v>
      </c>
      <c r="B38" s="14"/>
      <c r="C38" s="13"/>
      <c r="D38" s="20"/>
      <c r="E38" s="17"/>
      <c r="F38" s="21" t="str">
        <f t="shared" si="0"/>
        <v/>
      </c>
      <c r="G38" s="17"/>
      <c r="H38" s="18" t="str">
        <f t="shared" si="1"/>
        <v/>
      </c>
      <c r="I38" s="20"/>
      <c r="J38" s="24" t="str">
        <f t="shared" si="2"/>
        <v/>
      </c>
      <c r="K38" s="16"/>
      <c r="L38" s="16"/>
      <c r="M38" s="13"/>
      <c r="N38" s="13"/>
      <c r="O38" s="15"/>
      <c r="P38" s="22"/>
      <c r="Q38" s="22"/>
    </row>
    <row r="39" spans="1:17" ht="24" customHeight="1">
      <c r="A39" s="13" t="s">
        <v>140</v>
      </c>
      <c r="B39" s="14"/>
      <c r="C39" s="13"/>
      <c r="D39" s="20"/>
      <c r="E39" s="17"/>
      <c r="F39" s="21" t="str">
        <f t="shared" si="0"/>
        <v/>
      </c>
      <c r="G39" s="17"/>
      <c r="H39" s="18" t="str">
        <f t="shared" si="1"/>
        <v/>
      </c>
      <c r="I39" s="20"/>
      <c r="J39" s="24" t="str">
        <f t="shared" si="2"/>
        <v/>
      </c>
      <c r="K39" s="16"/>
      <c r="L39" s="16"/>
      <c r="M39" s="13"/>
      <c r="N39" s="13"/>
      <c r="O39" s="15"/>
      <c r="P39" s="22"/>
      <c r="Q39" s="22"/>
    </row>
    <row r="40" spans="1:17" ht="24" customHeight="1">
      <c r="A40" s="13" t="s">
        <v>141</v>
      </c>
      <c r="B40" s="14"/>
      <c r="C40" s="13"/>
      <c r="D40" s="20"/>
      <c r="E40" s="17"/>
      <c r="F40" s="21" t="str">
        <f t="shared" si="0"/>
        <v/>
      </c>
      <c r="G40" s="17"/>
      <c r="H40" s="18" t="str">
        <f t="shared" si="1"/>
        <v/>
      </c>
      <c r="I40" s="20"/>
      <c r="J40" s="24" t="str">
        <f t="shared" si="2"/>
        <v/>
      </c>
      <c r="K40" s="16"/>
      <c r="L40" s="16"/>
      <c r="M40" s="13"/>
      <c r="N40" s="13"/>
      <c r="O40" s="15"/>
      <c r="P40" s="22"/>
      <c r="Q40" s="22"/>
    </row>
    <row r="41" spans="1:17" ht="24" customHeight="1">
      <c r="A41" s="13" t="s">
        <v>142</v>
      </c>
      <c r="B41" s="14"/>
      <c r="C41" s="13"/>
      <c r="D41" s="20"/>
      <c r="E41" s="17"/>
      <c r="F41" s="21" t="str">
        <f t="shared" si="0"/>
        <v/>
      </c>
      <c r="G41" s="17"/>
      <c r="H41" s="18" t="str">
        <f t="shared" si="1"/>
        <v/>
      </c>
      <c r="I41" s="20"/>
      <c r="J41" s="24" t="str">
        <f t="shared" si="2"/>
        <v/>
      </c>
      <c r="K41" s="16"/>
      <c r="L41" s="16"/>
      <c r="M41" s="13"/>
      <c r="N41" s="13"/>
      <c r="O41" s="15"/>
      <c r="P41" s="22"/>
      <c r="Q41" s="22"/>
    </row>
    <row r="42" spans="1:17" ht="24" customHeight="1">
      <c r="A42" s="13" t="s">
        <v>143</v>
      </c>
      <c r="B42" s="14"/>
      <c r="C42" s="13"/>
      <c r="D42" s="20"/>
      <c r="E42" s="17"/>
      <c r="F42" s="21" t="str">
        <f t="shared" si="0"/>
        <v/>
      </c>
      <c r="G42" s="17"/>
      <c r="H42" s="18" t="str">
        <f t="shared" si="1"/>
        <v/>
      </c>
      <c r="I42" s="20"/>
      <c r="J42" s="24" t="str">
        <f t="shared" si="2"/>
        <v/>
      </c>
      <c r="K42" s="16"/>
      <c r="L42" s="16"/>
      <c r="M42" s="13"/>
      <c r="N42" s="13"/>
      <c r="O42" s="15"/>
      <c r="P42" s="22"/>
      <c r="Q42" s="22"/>
    </row>
    <row r="43" spans="1:17" ht="24" customHeight="1">
      <c r="A43" s="13" t="s">
        <v>144</v>
      </c>
      <c r="B43" s="14"/>
      <c r="C43" s="13"/>
      <c r="D43" s="20"/>
      <c r="E43" s="17"/>
      <c r="F43" s="21" t="str">
        <f t="shared" si="0"/>
        <v/>
      </c>
      <c r="G43" s="17"/>
      <c r="H43" s="18" t="str">
        <f t="shared" si="1"/>
        <v/>
      </c>
      <c r="I43" s="20"/>
      <c r="J43" s="24" t="str">
        <f t="shared" si="2"/>
        <v/>
      </c>
      <c r="K43" s="16"/>
      <c r="L43" s="16"/>
      <c r="M43" s="13"/>
      <c r="N43" s="13"/>
      <c r="O43" s="15"/>
      <c r="P43" s="22"/>
      <c r="Q43" s="22"/>
    </row>
    <row r="44" spans="1:17" ht="24" customHeight="1">
      <c r="A44" s="13" t="s">
        <v>145</v>
      </c>
      <c r="B44" s="14"/>
      <c r="C44" s="13"/>
      <c r="D44" s="20"/>
      <c r="E44" s="17"/>
      <c r="F44" s="21" t="str">
        <f t="shared" si="0"/>
        <v/>
      </c>
      <c r="G44" s="17"/>
      <c r="H44" s="18" t="str">
        <f t="shared" si="1"/>
        <v/>
      </c>
      <c r="I44" s="20"/>
      <c r="J44" s="24" t="str">
        <f t="shared" si="2"/>
        <v/>
      </c>
      <c r="K44" s="16"/>
      <c r="L44" s="16"/>
      <c r="M44" s="13"/>
      <c r="N44" s="13"/>
      <c r="O44" s="15"/>
      <c r="P44" s="22"/>
      <c r="Q44" s="22"/>
    </row>
    <row r="45" spans="1:17" ht="24" customHeight="1">
      <c r="A45" s="13" t="s">
        <v>146</v>
      </c>
      <c r="B45" s="14"/>
      <c r="C45" s="13"/>
      <c r="D45" s="20"/>
      <c r="E45" s="17"/>
      <c r="F45" s="21" t="str">
        <f t="shared" si="0"/>
        <v/>
      </c>
      <c r="G45" s="17"/>
      <c r="H45" s="18" t="str">
        <f t="shared" si="1"/>
        <v/>
      </c>
      <c r="I45" s="20"/>
      <c r="J45" s="24" t="str">
        <f t="shared" si="2"/>
        <v/>
      </c>
      <c r="K45" s="16"/>
      <c r="L45" s="16"/>
      <c r="M45" s="13"/>
      <c r="N45" s="13"/>
      <c r="O45" s="15"/>
      <c r="P45" s="22"/>
      <c r="Q45" s="22"/>
    </row>
    <row r="46" spans="1:17" ht="24" customHeight="1">
      <c r="A46" s="13" t="s">
        <v>147</v>
      </c>
      <c r="B46" s="14"/>
      <c r="C46" s="13"/>
      <c r="D46" s="20"/>
      <c r="E46" s="17"/>
      <c r="F46" s="21" t="str">
        <f t="shared" si="0"/>
        <v/>
      </c>
      <c r="G46" s="17"/>
      <c r="H46" s="18" t="str">
        <f t="shared" si="1"/>
        <v/>
      </c>
      <c r="I46" s="20"/>
      <c r="J46" s="24" t="str">
        <f t="shared" si="2"/>
        <v/>
      </c>
      <c r="K46" s="16"/>
      <c r="L46" s="16"/>
      <c r="M46" s="13"/>
      <c r="N46" s="13"/>
      <c r="O46" s="15"/>
      <c r="P46" s="22"/>
      <c r="Q46" s="22"/>
    </row>
    <row r="47" spans="1:17" ht="24" customHeight="1">
      <c r="A47" s="13" t="s">
        <v>148</v>
      </c>
      <c r="B47" s="14"/>
      <c r="C47" s="13"/>
      <c r="D47" s="20"/>
      <c r="E47" s="17"/>
      <c r="F47" s="21" t="str">
        <f t="shared" si="0"/>
        <v/>
      </c>
      <c r="G47" s="17"/>
      <c r="H47" s="18" t="str">
        <f t="shared" si="1"/>
        <v/>
      </c>
      <c r="I47" s="20"/>
      <c r="J47" s="24" t="str">
        <f t="shared" si="2"/>
        <v/>
      </c>
      <c r="K47" s="16"/>
      <c r="L47" s="16"/>
      <c r="M47" s="13"/>
      <c r="N47" s="13"/>
      <c r="O47" s="15"/>
      <c r="P47" s="22"/>
      <c r="Q47" s="22"/>
    </row>
    <row r="48" spans="1:17" ht="24" customHeight="1">
      <c r="A48" s="13" t="s">
        <v>149</v>
      </c>
      <c r="B48" s="14"/>
      <c r="C48" s="13"/>
      <c r="D48" s="20"/>
      <c r="E48" s="17"/>
      <c r="F48" s="21" t="str">
        <f t="shared" si="0"/>
        <v/>
      </c>
      <c r="G48" s="17"/>
      <c r="H48" s="18" t="str">
        <f t="shared" si="1"/>
        <v/>
      </c>
      <c r="I48" s="20"/>
      <c r="J48" s="24" t="str">
        <f t="shared" si="2"/>
        <v/>
      </c>
      <c r="K48" s="16"/>
      <c r="L48" s="16"/>
      <c r="M48" s="13"/>
      <c r="N48" s="13"/>
      <c r="O48" s="15"/>
      <c r="P48" s="22"/>
      <c r="Q48" s="22"/>
    </row>
    <row r="49" spans="1:17" ht="24" customHeight="1">
      <c r="A49" s="13" t="s">
        <v>150</v>
      </c>
      <c r="B49" s="14"/>
      <c r="C49" s="13"/>
      <c r="D49" s="20"/>
      <c r="E49" s="17"/>
      <c r="F49" s="21" t="str">
        <f t="shared" si="0"/>
        <v/>
      </c>
      <c r="G49" s="17"/>
      <c r="H49" s="18" t="str">
        <f t="shared" si="1"/>
        <v/>
      </c>
      <c r="I49" s="20"/>
      <c r="J49" s="24" t="str">
        <f t="shared" si="2"/>
        <v/>
      </c>
      <c r="K49" s="16"/>
      <c r="L49" s="16"/>
      <c r="M49" s="13"/>
      <c r="N49" s="13"/>
      <c r="O49" s="15"/>
      <c r="P49" s="22"/>
      <c r="Q49" s="22"/>
    </row>
    <row r="50" spans="1:17" ht="24" customHeight="1">
      <c r="A50" s="13" t="s">
        <v>151</v>
      </c>
      <c r="B50" s="14"/>
      <c r="C50" s="13"/>
      <c r="D50" s="20"/>
      <c r="E50" s="17"/>
      <c r="F50" s="21" t="str">
        <f t="shared" si="0"/>
        <v/>
      </c>
      <c r="G50" s="17"/>
      <c r="H50" s="18" t="str">
        <f t="shared" si="1"/>
        <v/>
      </c>
      <c r="I50" s="20"/>
      <c r="J50" s="24" t="str">
        <f t="shared" si="2"/>
        <v/>
      </c>
      <c r="K50" s="16"/>
      <c r="L50" s="16"/>
      <c r="M50" s="13"/>
      <c r="N50" s="13"/>
      <c r="O50" s="15"/>
      <c r="P50" s="22"/>
      <c r="Q50" s="22"/>
    </row>
  </sheetData>
  <mergeCells count="19">
    <mergeCell ref="M24:Q26"/>
    <mergeCell ref="B17:Q17"/>
    <mergeCell ref="B18:Q18"/>
    <mergeCell ref="B19:Q19"/>
    <mergeCell ref="B20:Q20"/>
    <mergeCell ref="B21:Q21"/>
    <mergeCell ref="B13:D13"/>
    <mergeCell ref="G13:I13"/>
    <mergeCell ref="L13:Q13"/>
    <mergeCell ref="B14:D14"/>
    <mergeCell ref="G14:I14"/>
    <mergeCell ref="L14:Q14"/>
    <mergeCell ref="B6:Q6"/>
    <mergeCell ref="B7:Q7"/>
    <mergeCell ref="B8:Q8"/>
    <mergeCell ref="B9:Q9"/>
    <mergeCell ref="B12:D12"/>
    <mergeCell ref="G12:I12"/>
    <mergeCell ref="L12:Q12"/>
  </mergeCells>
  <conditionalFormatting sqref="M31:M50">
    <cfRule type="containsText" dxfId="16" priority="1" operator="containsText" text="Pass"/>
    <cfRule type="containsText" dxfId="15" priority="2" operator="containsText" text="Fail"/>
    <cfRule type="containsText" dxfId="14" priority="3" operator="containsText" text="Invalid"/>
  </conditionalFormatting>
  <dataValidations count="2">
    <dataValidation type="list" sqref="C31:C50" xr:uid="{00000000-0002-0000-0100-000000000000}">
      <formula1>"A to B,B to A"</formula1>
    </dataValidation>
    <dataValidation type="list" sqref="M31:M50" xr:uid="{00000000-0002-0000-0100-000001000000}">
      <formula1>"Pass,Fail,Invalid"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Q54"/>
  <sheetViews>
    <sheetView showGridLines="0" workbookViewId="0"/>
  </sheetViews>
  <sheetFormatPr defaultRowHeight="13.5"/>
  <cols>
    <col min="1" max="1" width="17" customWidth="1"/>
    <col min="2" max="2" width="12" customWidth="1"/>
    <col min="3" max="3" width="11" customWidth="1"/>
    <col min="4" max="4" width="14" customWidth="1"/>
    <col min="5" max="5" width="17" customWidth="1"/>
    <col min="6" max="6" width="18" customWidth="1"/>
    <col min="7" max="7" width="14" customWidth="1"/>
    <col min="8" max="8" width="18" customWidth="1"/>
    <col min="9" max="9" width="15" customWidth="1"/>
    <col min="10" max="10" width="11" customWidth="1"/>
    <col min="11" max="11" width="17" customWidth="1"/>
    <col min="12" max="12" width="13" customWidth="1"/>
    <col min="13" max="13" width="17" customWidth="1"/>
    <col min="14" max="14" width="23" customWidth="1"/>
    <col min="15" max="15" width="30" customWidth="1"/>
  </cols>
  <sheetData>
    <row r="1" spans="1:17" ht="8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5.05" customHeight="1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22.05" customHeight="1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31.05" customHeight="1">
      <c r="A6" s="6" t="s">
        <v>3</v>
      </c>
      <c r="B6" s="26" t="s">
        <v>153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ht="31.05" customHeight="1">
      <c r="A7" s="6" t="s">
        <v>5</v>
      </c>
      <c r="B7" s="26" t="s">
        <v>154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1.05" customHeight="1">
      <c r="A8" s="6" t="s">
        <v>7</v>
      </c>
      <c r="B8" s="26" t="s">
        <v>155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ht="38" customHeight="1">
      <c r="A9" s="6" t="s">
        <v>9</v>
      </c>
      <c r="B9" s="26" t="s">
        <v>156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ht="8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2.05" customHeight="1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ht="29" customHeight="1">
      <c r="A12" s="7" t="s">
        <v>12</v>
      </c>
      <c r="B12" s="29" t="s">
        <v>13</v>
      </c>
      <c r="C12" s="30"/>
      <c r="D12" s="31"/>
      <c r="E12" s="22"/>
      <c r="F12" s="7" t="s">
        <v>157</v>
      </c>
      <c r="G12" s="29" t="s">
        <v>158</v>
      </c>
      <c r="H12" s="30"/>
      <c r="I12" s="31"/>
      <c r="J12" s="22"/>
      <c r="K12" s="7" t="s">
        <v>100</v>
      </c>
      <c r="L12" s="29"/>
      <c r="M12" s="30"/>
      <c r="N12" s="30"/>
      <c r="O12" s="30"/>
      <c r="P12" s="30"/>
      <c r="Q12" s="31"/>
    </row>
    <row r="13" spans="1:17" ht="29" customHeight="1">
      <c r="A13" s="7" t="s">
        <v>159</v>
      </c>
      <c r="B13" s="29" t="s">
        <v>160</v>
      </c>
      <c r="C13" s="30"/>
      <c r="D13" s="31"/>
      <c r="E13" s="22"/>
      <c r="F13" s="7" t="s">
        <v>161</v>
      </c>
      <c r="G13" s="29" t="s">
        <v>162</v>
      </c>
      <c r="H13" s="30"/>
      <c r="I13" s="31"/>
      <c r="J13" s="22"/>
      <c r="K13" s="7" t="s">
        <v>103</v>
      </c>
      <c r="L13" s="29" t="s">
        <v>104</v>
      </c>
      <c r="M13" s="30"/>
      <c r="N13" s="30"/>
      <c r="O13" s="30"/>
      <c r="P13" s="30"/>
      <c r="Q13" s="31"/>
    </row>
    <row r="14" spans="1:17" ht="29" customHeight="1">
      <c r="A14" s="7" t="s">
        <v>107</v>
      </c>
      <c r="B14" s="29" t="s">
        <v>163</v>
      </c>
      <c r="C14" s="30"/>
      <c r="D14" s="31"/>
      <c r="E14" s="22"/>
      <c r="F14" s="7" t="s">
        <v>164</v>
      </c>
      <c r="G14" s="29" t="s">
        <v>165</v>
      </c>
      <c r="H14" s="30"/>
      <c r="I14" s="31"/>
      <c r="J14" s="22"/>
      <c r="K14" s="7" t="s">
        <v>109</v>
      </c>
      <c r="L14" s="29" t="s">
        <v>22</v>
      </c>
      <c r="M14" s="30"/>
      <c r="N14" s="30"/>
      <c r="O14" s="30"/>
      <c r="P14" s="30"/>
      <c r="Q14" s="31"/>
    </row>
    <row r="15" spans="1:17" ht="8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22.05" customHeight="1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ht="28.05" customHeight="1">
      <c r="A17" s="8">
        <v>1</v>
      </c>
      <c r="B17" s="26" t="s">
        <v>166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1:17" ht="28.05" customHeight="1">
      <c r="A18" s="8">
        <v>2</v>
      </c>
      <c r="B18" s="26" t="s">
        <v>167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1:17" ht="28.05" customHeight="1">
      <c r="A19" s="8">
        <v>3</v>
      </c>
      <c r="B19" s="26" t="s">
        <v>168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28.05" customHeight="1">
      <c r="A20" s="8">
        <v>4</v>
      </c>
      <c r="B20" s="26" t="s">
        <v>169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8.05" customHeight="1">
      <c r="A21" s="8">
        <v>5</v>
      </c>
      <c r="B21" s="26" t="s">
        <v>170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1:17" ht="8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22.05" customHeight="1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spans="1:17" ht="30" customHeight="1">
      <c r="A24" s="7" t="s">
        <v>171</v>
      </c>
      <c r="B24" s="9">
        <f>COUNT(G31:G54)</f>
        <v>0</v>
      </c>
      <c r="C24" s="22"/>
      <c r="D24" s="7" t="s">
        <v>172</v>
      </c>
      <c r="E24" s="10" t="str">
        <f>IF(COUNT(G31:G54)=0,"n.a.",AVERAGE(G31:G54))</f>
        <v>n.a.</v>
      </c>
      <c r="F24" s="22"/>
      <c r="G24" s="7" t="s">
        <v>173</v>
      </c>
      <c r="H24" s="10" t="str">
        <f>IF(COUNT(F31:F54)=0,"n.a.",AVERAGE(F31:F54))</f>
        <v>n.a.</v>
      </c>
      <c r="I24" s="22"/>
      <c r="J24" s="7" t="s">
        <v>120</v>
      </c>
      <c r="K24" s="11" t="str">
        <f>IF((COUNTIFS(M31:M54,"Pass")+COUNTIFS(M31:M54,"Fail"))=0,"n.a.",COUNTIFS(M31:M54,"Pass")/(COUNTIFS(M31:M54,"Pass")+COUNTIFS(M31:M54,"Fail")))</f>
        <v>n.a.</v>
      </c>
      <c r="L24" s="22"/>
      <c r="M24" s="32" t="s">
        <v>33</v>
      </c>
      <c r="N24" s="33"/>
      <c r="O24" s="33"/>
      <c r="P24" s="33"/>
      <c r="Q24" s="34"/>
    </row>
    <row r="25" spans="1:17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5"/>
      <c r="N25" s="36"/>
      <c r="O25" s="36"/>
      <c r="P25" s="36"/>
      <c r="Q25" s="37"/>
    </row>
    <row r="26" spans="1:17" ht="30" customHeight="1">
      <c r="A26" s="7" t="s">
        <v>174</v>
      </c>
      <c r="B26" s="10" t="str">
        <f>IF(COUNTIFS(C31:C54,"CW")=0,"n.a.",SUMIFS(F31:F54,C31:C54,"CW")/COUNTIFS(C31:C54,"CW"))</f>
        <v>n.a.</v>
      </c>
      <c r="C26" s="22"/>
      <c r="D26" s="7" t="s">
        <v>175</v>
      </c>
      <c r="E26" s="10" t="str">
        <f>IF(COUNTIFS(C31:C54,"CCW")=0,"n.a.",SUMIFS(F31:F54,C31:C54,"CCW")/COUNTIFS(C31:C54,"CCW"))</f>
        <v>n.a.</v>
      </c>
      <c r="F26" s="22"/>
      <c r="G26" s="22"/>
      <c r="H26" s="22"/>
      <c r="I26" s="22"/>
      <c r="J26" s="22"/>
      <c r="K26" s="22"/>
      <c r="L26" s="22"/>
      <c r="M26" s="38"/>
      <c r="N26" s="39"/>
      <c r="O26" s="39"/>
      <c r="P26" s="39"/>
      <c r="Q26" s="40"/>
    </row>
    <row r="27" spans="1:17" ht="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8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22.05" customHeight="1">
      <c r="A29" s="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42" customHeight="1">
      <c r="A30" s="12" t="s">
        <v>121</v>
      </c>
      <c r="B30" s="12" t="s">
        <v>38</v>
      </c>
      <c r="C30" s="12" t="s">
        <v>176</v>
      </c>
      <c r="D30" s="12" t="s">
        <v>177</v>
      </c>
      <c r="E30" s="12" t="s">
        <v>178</v>
      </c>
      <c r="F30" s="12" t="s">
        <v>179</v>
      </c>
      <c r="G30" s="12" t="s">
        <v>180</v>
      </c>
      <c r="H30" s="12" t="s">
        <v>181</v>
      </c>
      <c r="I30" s="12" t="s">
        <v>182</v>
      </c>
      <c r="J30" s="12" t="s">
        <v>183</v>
      </c>
      <c r="K30" s="12" t="s">
        <v>41</v>
      </c>
      <c r="L30" s="12" t="s">
        <v>42</v>
      </c>
      <c r="M30" s="12" t="s">
        <v>130</v>
      </c>
      <c r="N30" s="12" t="s">
        <v>131</v>
      </c>
      <c r="O30" s="12" t="s">
        <v>53</v>
      </c>
      <c r="P30" s="22"/>
      <c r="Q30" s="22"/>
    </row>
    <row r="31" spans="1:17" ht="24" customHeight="1">
      <c r="A31" s="13" t="s">
        <v>184</v>
      </c>
      <c r="B31" s="14"/>
      <c r="C31" s="13"/>
      <c r="D31" s="17"/>
      <c r="E31" s="17"/>
      <c r="F31" s="18" t="str">
        <f t="shared" ref="F31:F54" si="0">IF(COUNT(D31,E31)&lt;2,"",E31-D31)</f>
        <v/>
      </c>
      <c r="G31" s="18" t="str">
        <f t="shared" ref="G31:G54" si="1">IF(COUNT(F31)=0,"",ABS(F31))</f>
        <v/>
      </c>
      <c r="H31" s="13"/>
      <c r="I31" s="16"/>
      <c r="J31" s="16"/>
      <c r="K31" s="16"/>
      <c r="L31" s="16"/>
      <c r="M31" s="13"/>
      <c r="N31" s="13"/>
      <c r="O31" s="15"/>
      <c r="P31" s="22"/>
      <c r="Q31" s="22"/>
    </row>
    <row r="32" spans="1:17" ht="24" customHeight="1">
      <c r="A32" s="13" t="s">
        <v>185</v>
      </c>
      <c r="B32" s="14"/>
      <c r="C32" s="13"/>
      <c r="D32" s="17"/>
      <c r="E32" s="17"/>
      <c r="F32" s="18" t="str">
        <f t="shared" si="0"/>
        <v/>
      </c>
      <c r="G32" s="18" t="str">
        <f t="shared" si="1"/>
        <v/>
      </c>
      <c r="H32" s="13"/>
      <c r="I32" s="16"/>
      <c r="J32" s="16"/>
      <c r="K32" s="16"/>
      <c r="L32" s="16"/>
      <c r="M32" s="13"/>
      <c r="N32" s="13"/>
      <c r="O32" s="15"/>
      <c r="P32" s="22"/>
      <c r="Q32" s="22"/>
    </row>
    <row r="33" spans="1:17" ht="24" customHeight="1">
      <c r="A33" s="13" t="s">
        <v>186</v>
      </c>
      <c r="B33" s="14"/>
      <c r="C33" s="13"/>
      <c r="D33" s="17"/>
      <c r="E33" s="17"/>
      <c r="F33" s="18" t="str">
        <f t="shared" si="0"/>
        <v/>
      </c>
      <c r="G33" s="18" t="str">
        <f t="shared" si="1"/>
        <v/>
      </c>
      <c r="H33" s="13"/>
      <c r="I33" s="16"/>
      <c r="J33" s="16"/>
      <c r="K33" s="16"/>
      <c r="L33" s="16"/>
      <c r="M33" s="13"/>
      <c r="N33" s="13"/>
      <c r="O33" s="15"/>
      <c r="P33" s="22"/>
      <c r="Q33" s="22"/>
    </row>
    <row r="34" spans="1:17" ht="24" customHeight="1">
      <c r="A34" s="13" t="s">
        <v>187</v>
      </c>
      <c r="B34" s="14"/>
      <c r="C34" s="13"/>
      <c r="D34" s="17"/>
      <c r="E34" s="17"/>
      <c r="F34" s="18" t="str">
        <f t="shared" si="0"/>
        <v/>
      </c>
      <c r="G34" s="18" t="str">
        <f t="shared" si="1"/>
        <v/>
      </c>
      <c r="H34" s="13"/>
      <c r="I34" s="16"/>
      <c r="J34" s="16"/>
      <c r="K34" s="16"/>
      <c r="L34" s="16"/>
      <c r="M34" s="13"/>
      <c r="N34" s="13"/>
      <c r="O34" s="15"/>
      <c r="P34" s="22"/>
      <c r="Q34" s="22"/>
    </row>
    <row r="35" spans="1:17" ht="24" customHeight="1">
      <c r="A35" s="13" t="s">
        <v>188</v>
      </c>
      <c r="B35" s="14"/>
      <c r="C35" s="13"/>
      <c r="D35" s="17"/>
      <c r="E35" s="17"/>
      <c r="F35" s="18" t="str">
        <f t="shared" si="0"/>
        <v/>
      </c>
      <c r="G35" s="18" t="str">
        <f t="shared" si="1"/>
        <v/>
      </c>
      <c r="H35" s="13"/>
      <c r="I35" s="16"/>
      <c r="J35" s="16"/>
      <c r="K35" s="16"/>
      <c r="L35" s="16"/>
      <c r="M35" s="13"/>
      <c r="N35" s="13"/>
      <c r="O35" s="15"/>
      <c r="P35" s="22"/>
      <c r="Q35" s="22"/>
    </row>
    <row r="36" spans="1:17" ht="24" customHeight="1">
      <c r="A36" s="13" t="s">
        <v>189</v>
      </c>
      <c r="B36" s="14"/>
      <c r="C36" s="13"/>
      <c r="D36" s="17"/>
      <c r="E36" s="17"/>
      <c r="F36" s="18" t="str">
        <f t="shared" si="0"/>
        <v/>
      </c>
      <c r="G36" s="18" t="str">
        <f t="shared" si="1"/>
        <v/>
      </c>
      <c r="H36" s="13"/>
      <c r="I36" s="16"/>
      <c r="J36" s="16"/>
      <c r="K36" s="16"/>
      <c r="L36" s="16"/>
      <c r="M36" s="13"/>
      <c r="N36" s="13"/>
      <c r="O36" s="15"/>
      <c r="P36" s="22"/>
      <c r="Q36" s="22"/>
    </row>
    <row r="37" spans="1:17" ht="24" customHeight="1">
      <c r="A37" s="13" t="s">
        <v>190</v>
      </c>
      <c r="B37" s="14"/>
      <c r="C37" s="13"/>
      <c r="D37" s="17"/>
      <c r="E37" s="17"/>
      <c r="F37" s="18" t="str">
        <f t="shared" si="0"/>
        <v/>
      </c>
      <c r="G37" s="18" t="str">
        <f t="shared" si="1"/>
        <v/>
      </c>
      <c r="H37" s="13"/>
      <c r="I37" s="16"/>
      <c r="J37" s="16"/>
      <c r="K37" s="16"/>
      <c r="L37" s="16"/>
      <c r="M37" s="13"/>
      <c r="N37" s="13"/>
      <c r="O37" s="15"/>
      <c r="P37" s="22"/>
      <c r="Q37" s="22"/>
    </row>
    <row r="38" spans="1:17" ht="24" customHeight="1">
      <c r="A38" s="13" t="s">
        <v>191</v>
      </c>
      <c r="B38" s="14"/>
      <c r="C38" s="13"/>
      <c r="D38" s="17"/>
      <c r="E38" s="17"/>
      <c r="F38" s="18" t="str">
        <f t="shared" si="0"/>
        <v/>
      </c>
      <c r="G38" s="18" t="str">
        <f t="shared" si="1"/>
        <v/>
      </c>
      <c r="H38" s="13"/>
      <c r="I38" s="16"/>
      <c r="J38" s="16"/>
      <c r="K38" s="16"/>
      <c r="L38" s="16"/>
      <c r="M38" s="13"/>
      <c r="N38" s="13"/>
      <c r="O38" s="15"/>
      <c r="P38" s="22"/>
      <c r="Q38" s="22"/>
    </row>
    <row r="39" spans="1:17" ht="24" customHeight="1">
      <c r="A39" s="13" t="s">
        <v>192</v>
      </c>
      <c r="B39" s="14"/>
      <c r="C39" s="13"/>
      <c r="D39" s="17"/>
      <c r="E39" s="17"/>
      <c r="F39" s="18" t="str">
        <f t="shared" si="0"/>
        <v/>
      </c>
      <c r="G39" s="18" t="str">
        <f t="shared" si="1"/>
        <v/>
      </c>
      <c r="H39" s="13"/>
      <c r="I39" s="16"/>
      <c r="J39" s="16"/>
      <c r="K39" s="16"/>
      <c r="L39" s="16"/>
      <c r="M39" s="13"/>
      <c r="N39" s="13"/>
      <c r="O39" s="15"/>
      <c r="P39" s="22"/>
      <c r="Q39" s="22"/>
    </row>
    <row r="40" spans="1:17" ht="24" customHeight="1">
      <c r="A40" s="13" t="s">
        <v>193</v>
      </c>
      <c r="B40" s="14"/>
      <c r="C40" s="13"/>
      <c r="D40" s="17"/>
      <c r="E40" s="17"/>
      <c r="F40" s="18" t="str">
        <f t="shared" si="0"/>
        <v/>
      </c>
      <c r="G40" s="18" t="str">
        <f t="shared" si="1"/>
        <v/>
      </c>
      <c r="H40" s="13"/>
      <c r="I40" s="16"/>
      <c r="J40" s="16"/>
      <c r="K40" s="16"/>
      <c r="L40" s="16"/>
      <c r="M40" s="13"/>
      <c r="N40" s="13"/>
      <c r="O40" s="15"/>
      <c r="P40" s="22"/>
      <c r="Q40" s="22"/>
    </row>
    <row r="41" spans="1:17" ht="24" customHeight="1">
      <c r="A41" s="13" t="s">
        <v>194</v>
      </c>
      <c r="B41" s="14"/>
      <c r="C41" s="13"/>
      <c r="D41" s="17"/>
      <c r="E41" s="17"/>
      <c r="F41" s="18" t="str">
        <f t="shared" si="0"/>
        <v/>
      </c>
      <c r="G41" s="18" t="str">
        <f t="shared" si="1"/>
        <v/>
      </c>
      <c r="H41" s="13"/>
      <c r="I41" s="16"/>
      <c r="J41" s="16"/>
      <c r="K41" s="16"/>
      <c r="L41" s="16"/>
      <c r="M41" s="13"/>
      <c r="N41" s="13"/>
      <c r="O41" s="15"/>
      <c r="P41" s="22"/>
      <c r="Q41" s="22"/>
    </row>
    <row r="42" spans="1:17" ht="24" customHeight="1">
      <c r="A42" s="13" t="s">
        <v>195</v>
      </c>
      <c r="B42" s="14"/>
      <c r="C42" s="13"/>
      <c r="D42" s="17"/>
      <c r="E42" s="17"/>
      <c r="F42" s="18" t="str">
        <f t="shared" si="0"/>
        <v/>
      </c>
      <c r="G42" s="18" t="str">
        <f t="shared" si="1"/>
        <v/>
      </c>
      <c r="H42" s="13"/>
      <c r="I42" s="16"/>
      <c r="J42" s="16"/>
      <c r="K42" s="16"/>
      <c r="L42" s="16"/>
      <c r="M42" s="13"/>
      <c r="N42" s="13"/>
      <c r="O42" s="15"/>
      <c r="P42" s="22"/>
      <c r="Q42" s="22"/>
    </row>
    <row r="43" spans="1:17" ht="24" customHeight="1">
      <c r="A43" s="13" t="s">
        <v>196</v>
      </c>
      <c r="B43" s="14"/>
      <c r="C43" s="13"/>
      <c r="D43" s="17"/>
      <c r="E43" s="17"/>
      <c r="F43" s="18" t="str">
        <f t="shared" si="0"/>
        <v/>
      </c>
      <c r="G43" s="18" t="str">
        <f t="shared" si="1"/>
        <v/>
      </c>
      <c r="H43" s="13"/>
      <c r="I43" s="16"/>
      <c r="J43" s="16"/>
      <c r="K43" s="16"/>
      <c r="L43" s="16"/>
      <c r="M43" s="13"/>
      <c r="N43" s="13"/>
      <c r="O43" s="15"/>
      <c r="P43" s="22"/>
      <c r="Q43" s="22"/>
    </row>
    <row r="44" spans="1:17" ht="24" customHeight="1">
      <c r="A44" s="13" t="s">
        <v>197</v>
      </c>
      <c r="B44" s="14"/>
      <c r="C44" s="13"/>
      <c r="D44" s="17"/>
      <c r="E44" s="17"/>
      <c r="F44" s="18" t="str">
        <f t="shared" si="0"/>
        <v/>
      </c>
      <c r="G44" s="18" t="str">
        <f t="shared" si="1"/>
        <v/>
      </c>
      <c r="H44" s="13"/>
      <c r="I44" s="16"/>
      <c r="J44" s="16"/>
      <c r="K44" s="16"/>
      <c r="L44" s="16"/>
      <c r="M44" s="13"/>
      <c r="N44" s="13"/>
      <c r="O44" s="15"/>
      <c r="P44" s="22"/>
      <c r="Q44" s="22"/>
    </row>
    <row r="45" spans="1:17" ht="24" customHeight="1">
      <c r="A45" s="13" t="s">
        <v>198</v>
      </c>
      <c r="B45" s="14"/>
      <c r="C45" s="13"/>
      <c r="D45" s="17"/>
      <c r="E45" s="17"/>
      <c r="F45" s="18" t="str">
        <f t="shared" si="0"/>
        <v/>
      </c>
      <c r="G45" s="18" t="str">
        <f t="shared" si="1"/>
        <v/>
      </c>
      <c r="H45" s="13"/>
      <c r="I45" s="16"/>
      <c r="J45" s="16"/>
      <c r="K45" s="16"/>
      <c r="L45" s="16"/>
      <c r="M45" s="13"/>
      <c r="N45" s="13"/>
      <c r="O45" s="15"/>
      <c r="P45" s="22"/>
      <c r="Q45" s="22"/>
    </row>
    <row r="46" spans="1:17" ht="24" customHeight="1">
      <c r="A46" s="13" t="s">
        <v>199</v>
      </c>
      <c r="B46" s="14"/>
      <c r="C46" s="13"/>
      <c r="D46" s="17"/>
      <c r="E46" s="17"/>
      <c r="F46" s="18" t="str">
        <f t="shared" si="0"/>
        <v/>
      </c>
      <c r="G46" s="18" t="str">
        <f t="shared" si="1"/>
        <v/>
      </c>
      <c r="H46" s="13"/>
      <c r="I46" s="16"/>
      <c r="J46" s="16"/>
      <c r="K46" s="16"/>
      <c r="L46" s="16"/>
      <c r="M46" s="13"/>
      <c r="N46" s="13"/>
      <c r="O46" s="15"/>
      <c r="P46" s="22"/>
      <c r="Q46" s="22"/>
    </row>
    <row r="47" spans="1:17" ht="24" customHeight="1">
      <c r="A47" s="13" t="s">
        <v>200</v>
      </c>
      <c r="B47" s="14"/>
      <c r="C47" s="13"/>
      <c r="D47" s="17"/>
      <c r="E47" s="17"/>
      <c r="F47" s="18" t="str">
        <f t="shared" si="0"/>
        <v/>
      </c>
      <c r="G47" s="18" t="str">
        <f t="shared" si="1"/>
        <v/>
      </c>
      <c r="H47" s="13"/>
      <c r="I47" s="16"/>
      <c r="J47" s="16"/>
      <c r="K47" s="16"/>
      <c r="L47" s="16"/>
      <c r="M47" s="13"/>
      <c r="N47" s="13"/>
      <c r="O47" s="15"/>
      <c r="P47" s="22"/>
      <c r="Q47" s="22"/>
    </row>
    <row r="48" spans="1:17" ht="24" customHeight="1">
      <c r="A48" s="13" t="s">
        <v>201</v>
      </c>
      <c r="B48" s="14"/>
      <c r="C48" s="13"/>
      <c r="D48" s="17"/>
      <c r="E48" s="17"/>
      <c r="F48" s="18" t="str">
        <f t="shared" si="0"/>
        <v/>
      </c>
      <c r="G48" s="18" t="str">
        <f t="shared" si="1"/>
        <v/>
      </c>
      <c r="H48" s="13"/>
      <c r="I48" s="16"/>
      <c r="J48" s="16"/>
      <c r="K48" s="16"/>
      <c r="L48" s="16"/>
      <c r="M48" s="13"/>
      <c r="N48" s="13"/>
      <c r="O48" s="15"/>
      <c r="P48" s="22"/>
      <c r="Q48" s="22"/>
    </row>
    <row r="49" spans="1:17" ht="24" customHeight="1">
      <c r="A49" s="13" t="s">
        <v>202</v>
      </c>
      <c r="B49" s="14"/>
      <c r="C49" s="13"/>
      <c r="D49" s="17"/>
      <c r="E49" s="17"/>
      <c r="F49" s="18" t="str">
        <f t="shared" si="0"/>
        <v/>
      </c>
      <c r="G49" s="18" t="str">
        <f t="shared" si="1"/>
        <v/>
      </c>
      <c r="H49" s="13"/>
      <c r="I49" s="16"/>
      <c r="J49" s="16"/>
      <c r="K49" s="16"/>
      <c r="L49" s="16"/>
      <c r="M49" s="13"/>
      <c r="N49" s="13"/>
      <c r="O49" s="15"/>
      <c r="P49" s="22"/>
      <c r="Q49" s="22"/>
    </row>
    <row r="50" spans="1:17" ht="24" customHeight="1">
      <c r="A50" s="13" t="s">
        <v>203</v>
      </c>
      <c r="B50" s="14"/>
      <c r="C50" s="13"/>
      <c r="D50" s="17"/>
      <c r="E50" s="17"/>
      <c r="F50" s="18" t="str">
        <f t="shared" si="0"/>
        <v/>
      </c>
      <c r="G50" s="18" t="str">
        <f t="shared" si="1"/>
        <v/>
      </c>
      <c r="H50" s="13"/>
      <c r="I50" s="16"/>
      <c r="J50" s="16"/>
      <c r="K50" s="16"/>
      <c r="L50" s="16"/>
      <c r="M50" s="13"/>
      <c r="N50" s="13"/>
      <c r="O50" s="15"/>
      <c r="P50" s="22"/>
      <c r="Q50" s="22"/>
    </row>
    <row r="51" spans="1:17" ht="24" customHeight="1">
      <c r="A51" s="13" t="s">
        <v>204</v>
      </c>
      <c r="B51" s="14"/>
      <c r="C51" s="13"/>
      <c r="D51" s="17"/>
      <c r="E51" s="17"/>
      <c r="F51" s="18" t="str">
        <f t="shared" si="0"/>
        <v/>
      </c>
      <c r="G51" s="18" t="str">
        <f t="shared" si="1"/>
        <v/>
      </c>
      <c r="H51" s="13"/>
      <c r="I51" s="16"/>
      <c r="J51" s="16"/>
      <c r="K51" s="16"/>
      <c r="L51" s="16"/>
      <c r="M51" s="13"/>
      <c r="N51" s="13"/>
      <c r="O51" s="15"/>
      <c r="P51" s="22"/>
      <c r="Q51" s="22"/>
    </row>
    <row r="52" spans="1:17" ht="24" customHeight="1">
      <c r="A52" s="13" t="s">
        <v>205</v>
      </c>
      <c r="B52" s="14"/>
      <c r="C52" s="13"/>
      <c r="D52" s="17"/>
      <c r="E52" s="17"/>
      <c r="F52" s="18" t="str">
        <f t="shared" si="0"/>
        <v/>
      </c>
      <c r="G52" s="18" t="str">
        <f t="shared" si="1"/>
        <v/>
      </c>
      <c r="H52" s="13"/>
      <c r="I52" s="16"/>
      <c r="J52" s="16"/>
      <c r="K52" s="16"/>
      <c r="L52" s="16"/>
      <c r="M52" s="13"/>
      <c r="N52" s="13"/>
      <c r="O52" s="15"/>
      <c r="P52" s="22"/>
      <c r="Q52" s="22"/>
    </row>
    <row r="53" spans="1:17" ht="24" customHeight="1">
      <c r="A53" s="13" t="s">
        <v>206</v>
      </c>
      <c r="B53" s="14"/>
      <c r="C53" s="13"/>
      <c r="D53" s="17"/>
      <c r="E53" s="17"/>
      <c r="F53" s="18" t="str">
        <f t="shared" si="0"/>
        <v/>
      </c>
      <c r="G53" s="18" t="str">
        <f t="shared" si="1"/>
        <v/>
      </c>
      <c r="H53" s="13"/>
      <c r="I53" s="16"/>
      <c r="J53" s="16"/>
      <c r="K53" s="16"/>
      <c r="L53" s="16"/>
      <c r="M53" s="13"/>
      <c r="N53" s="13"/>
      <c r="O53" s="15"/>
      <c r="P53" s="22"/>
      <c r="Q53" s="22"/>
    </row>
    <row r="54" spans="1:17" ht="24" customHeight="1">
      <c r="A54" s="13" t="s">
        <v>207</v>
      </c>
      <c r="B54" s="14"/>
      <c r="C54" s="13"/>
      <c r="D54" s="17"/>
      <c r="E54" s="17"/>
      <c r="F54" s="18" t="str">
        <f t="shared" si="0"/>
        <v/>
      </c>
      <c r="G54" s="18" t="str">
        <f t="shared" si="1"/>
        <v/>
      </c>
      <c r="H54" s="13"/>
      <c r="I54" s="16"/>
      <c r="J54" s="16"/>
      <c r="K54" s="16"/>
      <c r="L54" s="16"/>
      <c r="M54" s="13"/>
      <c r="N54" s="13"/>
      <c r="O54" s="15"/>
      <c r="P54" s="22"/>
      <c r="Q54" s="22"/>
    </row>
  </sheetData>
  <mergeCells count="19">
    <mergeCell ref="M24:Q26"/>
    <mergeCell ref="B17:Q17"/>
    <mergeCell ref="B18:Q18"/>
    <mergeCell ref="B19:Q19"/>
    <mergeCell ref="B20:Q20"/>
    <mergeCell ref="B21:Q21"/>
    <mergeCell ref="B13:D13"/>
    <mergeCell ref="G13:I13"/>
    <mergeCell ref="L13:Q13"/>
    <mergeCell ref="B14:D14"/>
    <mergeCell ref="G14:I14"/>
    <mergeCell ref="L14:Q14"/>
    <mergeCell ref="B6:Q6"/>
    <mergeCell ref="B7:Q7"/>
    <mergeCell ref="B8:Q8"/>
    <mergeCell ref="B9:Q9"/>
    <mergeCell ref="B12:D12"/>
    <mergeCell ref="G12:I12"/>
    <mergeCell ref="L12:Q12"/>
  </mergeCells>
  <conditionalFormatting sqref="M31:M54">
    <cfRule type="containsText" dxfId="13" priority="1" operator="containsText" text="Pass"/>
    <cfRule type="containsText" dxfId="12" priority="2" operator="containsText" text="Fail"/>
    <cfRule type="containsText" dxfId="11" priority="3" operator="containsText" text="Invalid"/>
  </conditionalFormatting>
  <dataValidations count="2">
    <dataValidation type="list" sqref="C31:C54" xr:uid="{00000000-0002-0000-0200-000000000000}">
      <formula1>"CW,CCW"</formula1>
    </dataValidation>
    <dataValidation type="list" sqref="M31:M54" xr:uid="{00000000-0002-0000-0200-000001000000}">
      <formula1>"Pass,Fail,Invalid"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Q55"/>
  <sheetViews>
    <sheetView showGridLines="0" workbookViewId="0"/>
  </sheetViews>
  <sheetFormatPr defaultRowHeight="13.5"/>
  <cols>
    <col min="1" max="1" width="17" customWidth="1"/>
    <col min="2" max="2" width="12" customWidth="1"/>
    <col min="3" max="3" width="14" customWidth="1"/>
    <col min="4" max="4" width="15" customWidth="1"/>
    <col min="5" max="5" width="17" customWidth="1"/>
    <col min="6" max="6" width="18" customWidth="1"/>
    <col min="7" max="7" width="10" customWidth="1"/>
    <col min="8" max="9" width="14" customWidth="1"/>
    <col min="10" max="10" width="11" customWidth="1"/>
    <col min="11" max="11" width="17" customWidth="1"/>
    <col min="12" max="12" width="12" customWidth="1"/>
    <col min="13" max="13" width="17" customWidth="1"/>
    <col min="14" max="14" width="11" customWidth="1"/>
    <col min="15" max="15" width="14" customWidth="1"/>
    <col min="16" max="16" width="23" customWidth="1"/>
    <col min="17" max="17" width="30" customWidth="1"/>
  </cols>
  <sheetData>
    <row r="1" spans="1:17" ht="8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5.05" customHeight="1">
      <c r="A2" s="1" t="s">
        <v>208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22.05" customHeight="1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31.05" customHeight="1">
      <c r="A6" s="6" t="s">
        <v>3</v>
      </c>
      <c r="B6" s="26" t="s">
        <v>209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ht="31.05" customHeight="1">
      <c r="A7" s="6" t="s">
        <v>5</v>
      </c>
      <c r="B7" s="26" t="s">
        <v>210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1.05" customHeight="1">
      <c r="A8" s="6" t="s">
        <v>7</v>
      </c>
      <c r="B8" s="26" t="s">
        <v>211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ht="38" customHeight="1">
      <c r="A9" s="6" t="s">
        <v>9</v>
      </c>
      <c r="B9" s="26" t="s">
        <v>212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ht="8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2.05" customHeight="1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ht="29" customHeight="1">
      <c r="A12" s="7" t="s">
        <v>12</v>
      </c>
      <c r="B12" s="29" t="s">
        <v>13</v>
      </c>
      <c r="C12" s="30"/>
      <c r="D12" s="31"/>
      <c r="E12" s="22"/>
      <c r="F12" s="7" t="s">
        <v>213</v>
      </c>
      <c r="G12" s="29" t="s">
        <v>214</v>
      </c>
      <c r="H12" s="30"/>
      <c r="I12" s="31"/>
      <c r="J12" s="22"/>
      <c r="K12" s="7" t="s">
        <v>215</v>
      </c>
      <c r="L12" s="29" t="s">
        <v>216</v>
      </c>
      <c r="M12" s="30"/>
      <c r="N12" s="30"/>
      <c r="O12" s="30"/>
      <c r="P12" s="30"/>
      <c r="Q12" s="31"/>
    </row>
    <row r="13" spans="1:17" ht="29" customHeight="1">
      <c r="A13" s="7" t="s">
        <v>99</v>
      </c>
      <c r="B13" s="29" t="s">
        <v>217</v>
      </c>
      <c r="C13" s="30"/>
      <c r="D13" s="31"/>
      <c r="E13" s="22"/>
      <c r="F13" s="7" t="s">
        <v>218</v>
      </c>
      <c r="G13" s="29"/>
      <c r="H13" s="30"/>
      <c r="I13" s="31"/>
      <c r="J13" s="22"/>
      <c r="K13" s="7" t="s">
        <v>100</v>
      </c>
      <c r="L13" s="29"/>
      <c r="M13" s="30"/>
      <c r="N13" s="30"/>
      <c r="O13" s="30"/>
      <c r="P13" s="30"/>
      <c r="Q13" s="31"/>
    </row>
    <row r="14" spans="1:17" ht="29" customHeight="1">
      <c r="A14" s="7" t="s">
        <v>219</v>
      </c>
      <c r="B14" s="29" t="s">
        <v>220</v>
      </c>
      <c r="C14" s="30"/>
      <c r="D14" s="31"/>
      <c r="E14" s="22"/>
      <c r="F14" s="7" t="s">
        <v>103</v>
      </c>
      <c r="G14" s="29" t="s">
        <v>104</v>
      </c>
      <c r="H14" s="30"/>
      <c r="I14" s="31"/>
      <c r="J14" s="22"/>
      <c r="K14" s="7" t="s">
        <v>221</v>
      </c>
      <c r="L14" s="29" t="s">
        <v>222</v>
      </c>
      <c r="M14" s="30"/>
      <c r="N14" s="30"/>
      <c r="O14" s="30"/>
      <c r="P14" s="30"/>
      <c r="Q14" s="31"/>
    </row>
    <row r="15" spans="1:17" ht="8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22.05" customHeight="1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ht="28.05" customHeight="1">
      <c r="A17" s="8">
        <v>1</v>
      </c>
      <c r="B17" s="26" t="s">
        <v>223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1:17" ht="28.05" customHeight="1">
      <c r="A18" s="8">
        <v>2</v>
      </c>
      <c r="B18" s="26" t="s">
        <v>224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1:17" ht="28.05" customHeight="1">
      <c r="A19" s="8">
        <v>3</v>
      </c>
      <c r="B19" s="26" t="s">
        <v>225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28.05" customHeight="1">
      <c r="A20" s="8">
        <v>4</v>
      </c>
      <c r="B20" s="26" t="s">
        <v>226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8.05" customHeight="1">
      <c r="A21" s="8">
        <v>5</v>
      </c>
      <c r="B21" s="26" t="s">
        <v>227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1:17" ht="8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22.05" customHeight="1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spans="1:17" ht="30" customHeight="1">
      <c r="A24" s="7" t="s">
        <v>228</v>
      </c>
      <c r="B24" s="9">
        <f>COUNT(C31:C55)</f>
        <v>0</v>
      </c>
      <c r="C24" s="22"/>
      <c r="D24" s="7" t="s">
        <v>229</v>
      </c>
      <c r="E24" s="9" t="str">
        <f>IF(COUNT(C31:C55)=0,"n.a.",MAX(C31:C55))</f>
        <v>n.a.</v>
      </c>
      <c r="F24" s="22"/>
      <c r="G24" s="7" t="s">
        <v>230</v>
      </c>
      <c r="H24" s="9" t="str">
        <f>IF(COUNT(O31:O55)=0,"n.a.",MAX(O31:O55))</f>
        <v>n.a.</v>
      </c>
      <c r="I24" s="22"/>
      <c r="J24" s="7" t="s">
        <v>120</v>
      </c>
      <c r="K24" s="11" t="str">
        <f>IF((COUNTIFS(N31:N55,"Pass")+COUNTIFS(N31:N55,"Fail"))=0,"n.a.",COUNTIFS(N31:N55,"Pass")/(COUNTIFS(N31:N55,"Pass")+COUNTIFS(N31:N55,"Fail")))</f>
        <v>n.a.</v>
      </c>
      <c r="L24" s="22"/>
      <c r="M24" s="32" t="s">
        <v>33</v>
      </c>
      <c r="N24" s="33"/>
      <c r="O24" s="33"/>
      <c r="P24" s="33"/>
      <c r="Q24" s="34"/>
    </row>
    <row r="25" spans="1:17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5"/>
      <c r="N25" s="36"/>
      <c r="O25" s="36"/>
      <c r="P25" s="36"/>
      <c r="Q25" s="37"/>
    </row>
    <row r="26" spans="1:17" ht="30" customHeight="1">
      <c r="A26" s="7" t="s">
        <v>119</v>
      </c>
      <c r="B26" s="23" t="str">
        <f>IF(COUNT(H31:H55)=0,"n.a.",AVERAGE(H31:H55))</f>
        <v>n.a.</v>
      </c>
      <c r="C26" s="22"/>
      <c r="D26" s="7" t="s">
        <v>231</v>
      </c>
      <c r="E26" s="10" t="str">
        <f>IF(COUNT(I31:I55)=0,"n.a.",AVERAGE(I31:I55))</f>
        <v>n.a.</v>
      </c>
      <c r="F26" s="22"/>
      <c r="G26" s="22"/>
      <c r="H26" s="22"/>
      <c r="I26" s="22"/>
      <c r="J26" s="22"/>
      <c r="K26" s="22"/>
      <c r="L26" s="22"/>
      <c r="M26" s="38"/>
      <c r="N26" s="39"/>
      <c r="O26" s="39"/>
      <c r="P26" s="39"/>
      <c r="Q26" s="40"/>
    </row>
    <row r="27" spans="1:17" ht="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8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22.05" customHeight="1">
      <c r="A29" s="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42" customHeight="1">
      <c r="A30" s="12" t="s">
        <v>121</v>
      </c>
      <c r="B30" s="12" t="s">
        <v>38</v>
      </c>
      <c r="C30" s="12" t="s">
        <v>232</v>
      </c>
      <c r="D30" s="12" t="s">
        <v>233</v>
      </c>
      <c r="E30" s="12" t="s">
        <v>123</v>
      </c>
      <c r="F30" s="12" t="s">
        <v>234</v>
      </c>
      <c r="G30" s="12" t="s">
        <v>128</v>
      </c>
      <c r="H30" s="12" t="s">
        <v>129</v>
      </c>
      <c r="I30" s="12" t="s">
        <v>235</v>
      </c>
      <c r="J30" s="12" t="s">
        <v>236</v>
      </c>
      <c r="K30" s="12" t="s">
        <v>237</v>
      </c>
      <c r="L30" s="12" t="s">
        <v>238</v>
      </c>
      <c r="M30" s="12" t="s">
        <v>41</v>
      </c>
      <c r="N30" s="12" t="s">
        <v>130</v>
      </c>
      <c r="O30" s="12" t="s">
        <v>239</v>
      </c>
      <c r="P30" s="12" t="s">
        <v>131</v>
      </c>
      <c r="Q30" s="12" t="s">
        <v>53</v>
      </c>
    </row>
    <row r="31" spans="1:17" ht="24" customHeight="1">
      <c r="A31" s="13" t="s">
        <v>240</v>
      </c>
      <c r="B31" s="14"/>
      <c r="C31" s="16"/>
      <c r="D31" s="13"/>
      <c r="E31" s="20"/>
      <c r="F31" s="20"/>
      <c r="G31" s="20"/>
      <c r="H31" s="24" t="str">
        <f t="shared" ref="H31:H55" si="0">IF(COUNT(F31,G31)&lt;2,"",IF(G31=0,"",F31/G31))</f>
        <v/>
      </c>
      <c r="I31" s="16"/>
      <c r="J31" s="16"/>
      <c r="K31" s="16"/>
      <c r="L31" s="13"/>
      <c r="M31" s="16"/>
      <c r="N31" s="13"/>
      <c r="O31" s="25" t="str">
        <f t="shared" ref="O31:O55" si="1">IF(N31="Pass",C31,"")</f>
        <v/>
      </c>
      <c r="P31" s="13"/>
      <c r="Q31" s="15"/>
    </row>
    <row r="32" spans="1:17" ht="24" customHeight="1">
      <c r="A32" s="13" t="s">
        <v>241</v>
      </c>
      <c r="B32" s="14"/>
      <c r="C32" s="16"/>
      <c r="D32" s="13"/>
      <c r="E32" s="20"/>
      <c r="F32" s="20"/>
      <c r="G32" s="20"/>
      <c r="H32" s="24" t="str">
        <f t="shared" si="0"/>
        <v/>
      </c>
      <c r="I32" s="16"/>
      <c r="J32" s="16"/>
      <c r="K32" s="16"/>
      <c r="L32" s="13"/>
      <c r="M32" s="16"/>
      <c r="N32" s="13"/>
      <c r="O32" s="25" t="str">
        <f t="shared" si="1"/>
        <v/>
      </c>
      <c r="P32" s="13"/>
      <c r="Q32" s="15"/>
    </row>
    <row r="33" spans="1:17" ht="24" customHeight="1">
      <c r="A33" s="13" t="s">
        <v>242</v>
      </c>
      <c r="B33" s="14"/>
      <c r="C33" s="16"/>
      <c r="D33" s="13"/>
      <c r="E33" s="20"/>
      <c r="F33" s="20"/>
      <c r="G33" s="20"/>
      <c r="H33" s="24" t="str">
        <f t="shared" si="0"/>
        <v/>
      </c>
      <c r="I33" s="16"/>
      <c r="J33" s="16"/>
      <c r="K33" s="16"/>
      <c r="L33" s="13"/>
      <c r="M33" s="16"/>
      <c r="N33" s="13"/>
      <c r="O33" s="25" t="str">
        <f t="shared" si="1"/>
        <v/>
      </c>
      <c r="P33" s="13"/>
      <c r="Q33" s="15"/>
    </row>
    <row r="34" spans="1:17" ht="24" customHeight="1">
      <c r="A34" s="13" t="s">
        <v>243</v>
      </c>
      <c r="B34" s="14"/>
      <c r="C34" s="16"/>
      <c r="D34" s="13"/>
      <c r="E34" s="20"/>
      <c r="F34" s="20"/>
      <c r="G34" s="20"/>
      <c r="H34" s="24" t="str">
        <f t="shared" si="0"/>
        <v/>
      </c>
      <c r="I34" s="16"/>
      <c r="J34" s="16"/>
      <c r="K34" s="16"/>
      <c r="L34" s="13"/>
      <c r="M34" s="16"/>
      <c r="N34" s="13"/>
      <c r="O34" s="25" t="str">
        <f t="shared" si="1"/>
        <v/>
      </c>
      <c r="P34" s="13"/>
      <c r="Q34" s="15"/>
    </row>
    <row r="35" spans="1:17" ht="24" customHeight="1">
      <c r="A35" s="13" t="s">
        <v>244</v>
      </c>
      <c r="B35" s="14"/>
      <c r="C35" s="16"/>
      <c r="D35" s="13"/>
      <c r="E35" s="20"/>
      <c r="F35" s="20"/>
      <c r="G35" s="20"/>
      <c r="H35" s="24" t="str">
        <f t="shared" si="0"/>
        <v/>
      </c>
      <c r="I35" s="16"/>
      <c r="J35" s="16"/>
      <c r="K35" s="16"/>
      <c r="L35" s="13"/>
      <c r="M35" s="16"/>
      <c r="N35" s="13"/>
      <c r="O35" s="25" t="str">
        <f t="shared" si="1"/>
        <v/>
      </c>
      <c r="P35" s="13"/>
      <c r="Q35" s="15"/>
    </row>
    <row r="36" spans="1:17" ht="24" customHeight="1">
      <c r="A36" s="13" t="s">
        <v>245</v>
      </c>
      <c r="B36" s="14"/>
      <c r="C36" s="16"/>
      <c r="D36" s="13"/>
      <c r="E36" s="20"/>
      <c r="F36" s="20"/>
      <c r="G36" s="20"/>
      <c r="H36" s="24" t="str">
        <f t="shared" si="0"/>
        <v/>
      </c>
      <c r="I36" s="16"/>
      <c r="J36" s="16"/>
      <c r="K36" s="16"/>
      <c r="L36" s="13"/>
      <c r="M36" s="16"/>
      <c r="N36" s="13"/>
      <c r="O36" s="25" t="str">
        <f t="shared" si="1"/>
        <v/>
      </c>
      <c r="P36" s="13"/>
      <c r="Q36" s="15"/>
    </row>
    <row r="37" spans="1:17" ht="24" customHeight="1">
      <c r="A37" s="13" t="s">
        <v>246</v>
      </c>
      <c r="B37" s="14"/>
      <c r="C37" s="16"/>
      <c r="D37" s="13"/>
      <c r="E37" s="20"/>
      <c r="F37" s="20"/>
      <c r="G37" s="20"/>
      <c r="H37" s="24" t="str">
        <f t="shared" si="0"/>
        <v/>
      </c>
      <c r="I37" s="16"/>
      <c r="J37" s="16"/>
      <c r="K37" s="16"/>
      <c r="L37" s="13"/>
      <c r="M37" s="16"/>
      <c r="N37" s="13"/>
      <c r="O37" s="25" t="str">
        <f t="shared" si="1"/>
        <v/>
      </c>
      <c r="P37" s="13"/>
      <c r="Q37" s="15"/>
    </row>
    <row r="38" spans="1:17" ht="24" customHeight="1">
      <c r="A38" s="13" t="s">
        <v>247</v>
      </c>
      <c r="B38" s="14"/>
      <c r="C38" s="16"/>
      <c r="D38" s="13"/>
      <c r="E38" s="20"/>
      <c r="F38" s="20"/>
      <c r="G38" s="20"/>
      <c r="H38" s="24" t="str">
        <f t="shared" si="0"/>
        <v/>
      </c>
      <c r="I38" s="16"/>
      <c r="J38" s="16"/>
      <c r="K38" s="16"/>
      <c r="L38" s="13"/>
      <c r="M38" s="16"/>
      <c r="N38" s="13"/>
      <c r="O38" s="25" t="str">
        <f t="shared" si="1"/>
        <v/>
      </c>
      <c r="P38" s="13"/>
      <c r="Q38" s="15"/>
    </row>
    <row r="39" spans="1:17" ht="24" customHeight="1">
      <c r="A39" s="13" t="s">
        <v>248</v>
      </c>
      <c r="B39" s="14"/>
      <c r="C39" s="16"/>
      <c r="D39" s="13"/>
      <c r="E39" s="20"/>
      <c r="F39" s="20"/>
      <c r="G39" s="20"/>
      <c r="H39" s="24" t="str">
        <f t="shared" si="0"/>
        <v/>
      </c>
      <c r="I39" s="16"/>
      <c r="J39" s="16"/>
      <c r="K39" s="16"/>
      <c r="L39" s="13"/>
      <c r="M39" s="16"/>
      <c r="N39" s="13"/>
      <c r="O39" s="25" t="str">
        <f t="shared" si="1"/>
        <v/>
      </c>
      <c r="P39" s="13"/>
      <c r="Q39" s="15"/>
    </row>
    <row r="40" spans="1:17" ht="24" customHeight="1">
      <c r="A40" s="13" t="s">
        <v>249</v>
      </c>
      <c r="B40" s="14"/>
      <c r="C40" s="16"/>
      <c r="D40" s="13"/>
      <c r="E40" s="20"/>
      <c r="F40" s="20"/>
      <c r="G40" s="20"/>
      <c r="H40" s="24" t="str">
        <f t="shared" si="0"/>
        <v/>
      </c>
      <c r="I40" s="16"/>
      <c r="J40" s="16"/>
      <c r="K40" s="16"/>
      <c r="L40" s="13"/>
      <c r="M40" s="16"/>
      <c r="N40" s="13"/>
      <c r="O40" s="25" t="str">
        <f t="shared" si="1"/>
        <v/>
      </c>
      <c r="P40" s="13"/>
      <c r="Q40" s="15"/>
    </row>
    <row r="41" spans="1:17" ht="24" customHeight="1">
      <c r="A41" s="13" t="s">
        <v>250</v>
      </c>
      <c r="B41" s="14"/>
      <c r="C41" s="16"/>
      <c r="D41" s="13"/>
      <c r="E41" s="20"/>
      <c r="F41" s="20"/>
      <c r="G41" s="20"/>
      <c r="H41" s="24" t="str">
        <f t="shared" si="0"/>
        <v/>
      </c>
      <c r="I41" s="16"/>
      <c r="J41" s="16"/>
      <c r="K41" s="16"/>
      <c r="L41" s="13"/>
      <c r="M41" s="16"/>
      <c r="N41" s="13"/>
      <c r="O41" s="25" t="str">
        <f t="shared" si="1"/>
        <v/>
      </c>
      <c r="P41" s="13"/>
      <c r="Q41" s="15"/>
    </row>
    <row r="42" spans="1:17" ht="24" customHeight="1">
      <c r="A42" s="13" t="s">
        <v>251</v>
      </c>
      <c r="B42" s="14"/>
      <c r="C42" s="16"/>
      <c r="D42" s="13"/>
      <c r="E42" s="20"/>
      <c r="F42" s="20"/>
      <c r="G42" s="20"/>
      <c r="H42" s="24" t="str">
        <f t="shared" si="0"/>
        <v/>
      </c>
      <c r="I42" s="16"/>
      <c r="J42" s="16"/>
      <c r="K42" s="16"/>
      <c r="L42" s="13"/>
      <c r="M42" s="16"/>
      <c r="N42" s="13"/>
      <c r="O42" s="25" t="str">
        <f t="shared" si="1"/>
        <v/>
      </c>
      <c r="P42" s="13"/>
      <c r="Q42" s="15"/>
    </row>
    <row r="43" spans="1:17" ht="24" customHeight="1">
      <c r="A43" s="13" t="s">
        <v>252</v>
      </c>
      <c r="B43" s="14"/>
      <c r="C43" s="16"/>
      <c r="D43" s="13"/>
      <c r="E43" s="20"/>
      <c r="F43" s="20"/>
      <c r="G43" s="20"/>
      <c r="H43" s="24" t="str">
        <f t="shared" si="0"/>
        <v/>
      </c>
      <c r="I43" s="16"/>
      <c r="J43" s="16"/>
      <c r="K43" s="16"/>
      <c r="L43" s="13"/>
      <c r="M43" s="16"/>
      <c r="N43" s="13"/>
      <c r="O43" s="25" t="str">
        <f t="shared" si="1"/>
        <v/>
      </c>
      <c r="P43" s="13"/>
      <c r="Q43" s="15"/>
    </row>
    <row r="44" spans="1:17" ht="24" customHeight="1">
      <c r="A44" s="13" t="s">
        <v>253</v>
      </c>
      <c r="B44" s="14"/>
      <c r="C44" s="16"/>
      <c r="D44" s="13"/>
      <c r="E44" s="20"/>
      <c r="F44" s="20"/>
      <c r="G44" s="20"/>
      <c r="H44" s="24" t="str">
        <f t="shared" si="0"/>
        <v/>
      </c>
      <c r="I44" s="16"/>
      <c r="J44" s="16"/>
      <c r="K44" s="16"/>
      <c r="L44" s="13"/>
      <c r="M44" s="16"/>
      <c r="N44" s="13"/>
      <c r="O44" s="25" t="str">
        <f t="shared" si="1"/>
        <v/>
      </c>
      <c r="P44" s="13"/>
      <c r="Q44" s="15"/>
    </row>
    <row r="45" spans="1:17" ht="24" customHeight="1">
      <c r="A45" s="13" t="s">
        <v>254</v>
      </c>
      <c r="B45" s="14"/>
      <c r="C45" s="16"/>
      <c r="D45" s="13"/>
      <c r="E45" s="20"/>
      <c r="F45" s="20"/>
      <c r="G45" s="20"/>
      <c r="H45" s="24" t="str">
        <f t="shared" si="0"/>
        <v/>
      </c>
      <c r="I45" s="16"/>
      <c r="J45" s="16"/>
      <c r="K45" s="16"/>
      <c r="L45" s="13"/>
      <c r="M45" s="16"/>
      <c r="N45" s="13"/>
      <c r="O45" s="25" t="str">
        <f t="shared" si="1"/>
        <v/>
      </c>
      <c r="P45" s="13"/>
      <c r="Q45" s="15"/>
    </row>
    <row r="46" spans="1:17" ht="24" customHeight="1">
      <c r="A46" s="13" t="s">
        <v>255</v>
      </c>
      <c r="B46" s="14"/>
      <c r="C46" s="16"/>
      <c r="D46" s="13"/>
      <c r="E46" s="20"/>
      <c r="F46" s="20"/>
      <c r="G46" s="20"/>
      <c r="H46" s="24" t="str">
        <f t="shared" si="0"/>
        <v/>
      </c>
      <c r="I46" s="16"/>
      <c r="J46" s="16"/>
      <c r="K46" s="16"/>
      <c r="L46" s="13"/>
      <c r="M46" s="16"/>
      <c r="N46" s="13"/>
      <c r="O46" s="25" t="str">
        <f t="shared" si="1"/>
        <v/>
      </c>
      <c r="P46" s="13"/>
      <c r="Q46" s="15"/>
    </row>
    <row r="47" spans="1:17" ht="24" customHeight="1">
      <c r="A47" s="13" t="s">
        <v>256</v>
      </c>
      <c r="B47" s="14"/>
      <c r="C47" s="16"/>
      <c r="D47" s="13"/>
      <c r="E47" s="20"/>
      <c r="F47" s="20"/>
      <c r="G47" s="20"/>
      <c r="H47" s="24" t="str">
        <f t="shared" si="0"/>
        <v/>
      </c>
      <c r="I47" s="16"/>
      <c r="J47" s="16"/>
      <c r="K47" s="16"/>
      <c r="L47" s="13"/>
      <c r="M47" s="16"/>
      <c r="N47" s="13"/>
      <c r="O47" s="25" t="str">
        <f t="shared" si="1"/>
        <v/>
      </c>
      <c r="P47" s="13"/>
      <c r="Q47" s="15"/>
    </row>
    <row r="48" spans="1:17" ht="24" customHeight="1">
      <c r="A48" s="13" t="s">
        <v>257</v>
      </c>
      <c r="B48" s="14"/>
      <c r="C48" s="16"/>
      <c r="D48" s="13"/>
      <c r="E48" s="20"/>
      <c r="F48" s="20"/>
      <c r="G48" s="20"/>
      <c r="H48" s="24" t="str">
        <f t="shared" si="0"/>
        <v/>
      </c>
      <c r="I48" s="16"/>
      <c r="J48" s="16"/>
      <c r="K48" s="16"/>
      <c r="L48" s="13"/>
      <c r="M48" s="16"/>
      <c r="N48" s="13"/>
      <c r="O48" s="25" t="str">
        <f t="shared" si="1"/>
        <v/>
      </c>
      <c r="P48" s="13"/>
      <c r="Q48" s="15"/>
    </row>
    <row r="49" spans="1:17" ht="24" customHeight="1">
      <c r="A49" s="13" t="s">
        <v>258</v>
      </c>
      <c r="B49" s="14"/>
      <c r="C49" s="16"/>
      <c r="D49" s="13"/>
      <c r="E49" s="20"/>
      <c r="F49" s="20"/>
      <c r="G49" s="20"/>
      <c r="H49" s="24" t="str">
        <f t="shared" si="0"/>
        <v/>
      </c>
      <c r="I49" s="16"/>
      <c r="J49" s="16"/>
      <c r="K49" s="16"/>
      <c r="L49" s="13"/>
      <c r="M49" s="16"/>
      <c r="N49" s="13"/>
      <c r="O49" s="25" t="str">
        <f t="shared" si="1"/>
        <v/>
      </c>
      <c r="P49" s="13"/>
      <c r="Q49" s="15"/>
    </row>
    <row r="50" spans="1:17" ht="24" customHeight="1">
      <c r="A50" s="13" t="s">
        <v>259</v>
      </c>
      <c r="B50" s="14"/>
      <c r="C50" s="16"/>
      <c r="D50" s="13"/>
      <c r="E50" s="20"/>
      <c r="F50" s="20"/>
      <c r="G50" s="20"/>
      <c r="H50" s="24" t="str">
        <f t="shared" si="0"/>
        <v/>
      </c>
      <c r="I50" s="16"/>
      <c r="J50" s="16"/>
      <c r="K50" s="16"/>
      <c r="L50" s="13"/>
      <c r="M50" s="16"/>
      <c r="N50" s="13"/>
      <c r="O50" s="25" t="str">
        <f t="shared" si="1"/>
        <v/>
      </c>
      <c r="P50" s="13"/>
      <c r="Q50" s="15"/>
    </row>
    <row r="51" spans="1:17" ht="24" customHeight="1">
      <c r="A51" s="13" t="s">
        <v>260</v>
      </c>
      <c r="B51" s="14"/>
      <c r="C51" s="16"/>
      <c r="D51" s="13"/>
      <c r="E51" s="20"/>
      <c r="F51" s="20"/>
      <c r="G51" s="20"/>
      <c r="H51" s="24" t="str">
        <f t="shared" si="0"/>
        <v/>
      </c>
      <c r="I51" s="16"/>
      <c r="J51" s="16"/>
      <c r="K51" s="16"/>
      <c r="L51" s="13"/>
      <c r="M51" s="16"/>
      <c r="N51" s="13"/>
      <c r="O51" s="25" t="str">
        <f t="shared" si="1"/>
        <v/>
      </c>
      <c r="P51" s="13"/>
      <c r="Q51" s="15"/>
    </row>
    <row r="52" spans="1:17" ht="24" customHeight="1">
      <c r="A52" s="13" t="s">
        <v>261</v>
      </c>
      <c r="B52" s="14"/>
      <c r="C52" s="16"/>
      <c r="D52" s="13"/>
      <c r="E52" s="20"/>
      <c r="F52" s="20"/>
      <c r="G52" s="20"/>
      <c r="H52" s="24" t="str">
        <f t="shared" si="0"/>
        <v/>
      </c>
      <c r="I52" s="16"/>
      <c r="J52" s="16"/>
      <c r="K52" s="16"/>
      <c r="L52" s="13"/>
      <c r="M52" s="16"/>
      <c r="N52" s="13"/>
      <c r="O52" s="25" t="str">
        <f t="shared" si="1"/>
        <v/>
      </c>
      <c r="P52" s="13"/>
      <c r="Q52" s="15"/>
    </row>
    <row r="53" spans="1:17" ht="24" customHeight="1">
      <c r="A53" s="13" t="s">
        <v>262</v>
      </c>
      <c r="B53" s="14"/>
      <c r="C53" s="16"/>
      <c r="D53" s="13"/>
      <c r="E53" s="20"/>
      <c r="F53" s="20"/>
      <c r="G53" s="20"/>
      <c r="H53" s="24" t="str">
        <f t="shared" si="0"/>
        <v/>
      </c>
      <c r="I53" s="16"/>
      <c r="J53" s="16"/>
      <c r="K53" s="16"/>
      <c r="L53" s="13"/>
      <c r="M53" s="16"/>
      <c r="N53" s="13"/>
      <c r="O53" s="25" t="str">
        <f t="shared" si="1"/>
        <v/>
      </c>
      <c r="P53" s="13"/>
      <c r="Q53" s="15"/>
    </row>
    <row r="54" spans="1:17" ht="24" customHeight="1">
      <c r="A54" s="13" t="s">
        <v>263</v>
      </c>
      <c r="B54" s="14"/>
      <c r="C54" s="16"/>
      <c r="D54" s="13"/>
      <c r="E54" s="20"/>
      <c r="F54" s="20"/>
      <c r="G54" s="20"/>
      <c r="H54" s="24" t="str">
        <f t="shared" si="0"/>
        <v/>
      </c>
      <c r="I54" s="16"/>
      <c r="J54" s="16"/>
      <c r="K54" s="16"/>
      <c r="L54" s="13"/>
      <c r="M54" s="16"/>
      <c r="N54" s="13"/>
      <c r="O54" s="25" t="str">
        <f t="shared" si="1"/>
        <v/>
      </c>
      <c r="P54" s="13"/>
      <c r="Q54" s="15"/>
    </row>
    <row r="55" spans="1:17" ht="24" customHeight="1">
      <c r="A55" s="13" t="s">
        <v>264</v>
      </c>
      <c r="B55" s="14"/>
      <c r="C55" s="16"/>
      <c r="D55" s="13"/>
      <c r="E55" s="20"/>
      <c r="F55" s="20"/>
      <c r="G55" s="20"/>
      <c r="H55" s="24" t="str">
        <f t="shared" si="0"/>
        <v/>
      </c>
      <c r="I55" s="16"/>
      <c r="J55" s="16"/>
      <c r="K55" s="16"/>
      <c r="L55" s="13"/>
      <c r="M55" s="16"/>
      <c r="N55" s="13"/>
      <c r="O55" s="25" t="str">
        <f t="shared" si="1"/>
        <v/>
      </c>
      <c r="P55" s="13"/>
      <c r="Q55" s="15"/>
    </row>
  </sheetData>
  <mergeCells count="19">
    <mergeCell ref="M24:Q26"/>
    <mergeCell ref="B17:Q17"/>
    <mergeCell ref="B18:Q18"/>
    <mergeCell ref="B19:Q19"/>
    <mergeCell ref="B20:Q20"/>
    <mergeCell ref="B21:Q21"/>
    <mergeCell ref="B13:D13"/>
    <mergeCell ref="G13:I13"/>
    <mergeCell ref="L13:Q13"/>
    <mergeCell ref="B14:D14"/>
    <mergeCell ref="G14:I14"/>
    <mergeCell ref="L14:Q14"/>
    <mergeCell ref="B6:Q6"/>
    <mergeCell ref="B7:Q7"/>
    <mergeCell ref="B8:Q8"/>
    <mergeCell ref="B9:Q9"/>
    <mergeCell ref="B12:D12"/>
    <mergeCell ref="G12:I12"/>
    <mergeCell ref="L12:Q12"/>
  </mergeCells>
  <conditionalFormatting sqref="N31:N55">
    <cfRule type="containsText" dxfId="10" priority="1" operator="containsText" text="Pass"/>
    <cfRule type="containsText" dxfId="9" priority="2" operator="containsText" text="Fail"/>
    <cfRule type="containsText" dxfId="8" priority="3" operator="containsText" text="Invalid"/>
  </conditionalFormatting>
  <dataValidations count="4">
    <dataValidation type="list" sqref="D31:D55" xr:uid="{00000000-0002-0000-0300-000000000000}">
      <formula1>"Centred,Front,Rear,Left,Right,Other"</formula1>
    </dataValidation>
    <dataValidation type="whole" sqref="I31:I55" xr:uid="{00000000-0002-0000-0300-000001000000}">
      <formula1>1</formula1>
      <formula2>5</formula2>
    </dataValidation>
    <dataValidation type="list" sqref="L31:L55" xr:uid="{00000000-0002-0000-0300-000002000000}">
      <formula1>"No,Yes"</formula1>
    </dataValidation>
    <dataValidation type="list" sqref="N31:N55" xr:uid="{00000000-0002-0000-0300-000003000000}">
      <formula1>"Pass,Fail,Invalid"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1:Q50"/>
  <sheetViews>
    <sheetView showGridLines="0" workbookViewId="0"/>
  </sheetViews>
  <sheetFormatPr defaultRowHeight="13.5"/>
  <cols>
    <col min="1" max="1" width="17" customWidth="1"/>
    <col min="2" max="2" width="12" customWidth="1"/>
    <col min="3" max="3" width="15" customWidth="1"/>
    <col min="4" max="4" width="18" customWidth="1"/>
    <col min="5" max="5" width="17" customWidth="1"/>
    <col min="6" max="6" width="18" customWidth="1"/>
    <col min="7" max="10" width="13" customWidth="1"/>
    <col min="11" max="11" width="17" customWidth="1"/>
    <col min="12" max="12" width="15" customWidth="1"/>
    <col min="13" max="14" width="17" customWidth="1"/>
    <col min="15" max="15" width="14" customWidth="1"/>
    <col min="16" max="16" width="11" customWidth="1"/>
    <col min="17" max="17" width="32" customWidth="1"/>
  </cols>
  <sheetData>
    <row r="1" spans="1:17" ht="8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5.05" customHeight="1">
      <c r="A2" s="1" t="s">
        <v>265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22.05" customHeight="1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31.05" customHeight="1">
      <c r="A6" s="6" t="s">
        <v>3</v>
      </c>
      <c r="B6" s="26" t="s">
        <v>266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ht="31.05" customHeight="1">
      <c r="A7" s="6" t="s">
        <v>5</v>
      </c>
      <c r="B7" s="26" t="s">
        <v>267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1.05" customHeight="1">
      <c r="A8" s="6" t="s">
        <v>7</v>
      </c>
      <c r="B8" s="26" t="s">
        <v>268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ht="38" customHeight="1">
      <c r="A9" s="6" t="s">
        <v>9</v>
      </c>
      <c r="B9" s="26" t="s">
        <v>269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ht="8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2.05" customHeight="1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ht="29" customHeight="1">
      <c r="A12" s="7" t="s">
        <v>12</v>
      </c>
      <c r="B12" s="29" t="s">
        <v>13</v>
      </c>
      <c r="C12" s="30"/>
      <c r="D12" s="31"/>
      <c r="E12" s="22"/>
      <c r="F12" s="7" t="s">
        <v>270</v>
      </c>
      <c r="G12" s="29" t="s">
        <v>271</v>
      </c>
      <c r="H12" s="30"/>
      <c r="I12" s="31"/>
      <c r="J12" s="22"/>
      <c r="K12" s="7" t="s">
        <v>272</v>
      </c>
      <c r="L12" s="29" t="s">
        <v>273</v>
      </c>
      <c r="M12" s="30"/>
      <c r="N12" s="30"/>
      <c r="O12" s="30"/>
      <c r="P12" s="30"/>
      <c r="Q12" s="31"/>
    </row>
    <row r="13" spans="1:17" ht="29" customHeight="1">
      <c r="A13" s="7" t="s">
        <v>274</v>
      </c>
      <c r="B13" s="29" t="s">
        <v>275</v>
      </c>
      <c r="C13" s="30"/>
      <c r="D13" s="31"/>
      <c r="E13" s="22"/>
      <c r="F13" s="7" t="s">
        <v>276</v>
      </c>
      <c r="G13" s="29" t="s">
        <v>277</v>
      </c>
      <c r="H13" s="30"/>
      <c r="I13" s="31"/>
      <c r="J13" s="22"/>
      <c r="K13" s="7" t="s">
        <v>218</v>
      </c>
      <c r="L13" s="29"/>
      <c r="M13" s="30"/>
      <c r="N13" s="30"/>
      <c r="O13" s="30"/>
      <c r="P13" s="30"/>
      <c r="Q13" s="31"/>
    </row>
    <row r="14" spans="1:17" ht="29" customHeight="1">
      <c r="A14" s="7" t="s">
        <v>278</v>
      </c>
      <c r="B14" s="29" t="s">
        <v>279</v>
      </c>
      <c r="C14" s="30"/>
      <c r="D14" s="31"/>
      <c r="E14" s="22"/>
      <c r="F14" s="7" t="s">
        <v>103</v>
      </c>
      <c r="G14" s="29" t="s">
        <v>104</v>
      </c>
      <c r="H14" s="30"/>
      <c r="I14" s="31"/>
      <c r="J14" s="22"/>
      <c r="K14" s="7" t="s">
        <v>280</v>
      </c>
      <c r="L14" s="29" t="s">
        <v>281</v>
      </c>
      <c r="M14" s="30"/>
      <c r="N14" s="30"/>
      <c r="O14" s="30"/>
      <c r="P14" s="30"/>
      <c r="Q14" s="31"/>
    </row>
    <row r="15" spans="1:17" ht="8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22.05" customHeight="1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ht="28.05" customHeight="1">
      <c r="A17" s="8">
        <v>1</v>
      </c>
      <c r="B17" s="26" t="s">
        <v>282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1:17" ht="28.05" customHeight="1">
      <c r="A18" s="8">
        <v>2</v>
      </c>
      <c r="B18" s="26" t="s">
        <v>283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1:17" ht="28.05" customHeight="1">
      <c r="A19" s="8">
        <v>3</v>
      </c>
      <c r="B19" s="26" t="s">
        <v>284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28.05" customHeight="1">
      <c r="A20" s="8">
        <v>4</v>
      </c>
      <c r="B20" s="26" t="s">
        <v>285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8.05" customHeight="1">
      <c r="A21" s="8">
        <v>5</v>
      </c>
      <c r="B21" s="26" t="s">
        <v>286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1:17" ht="8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22.05" customHeight="1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spans="1:17" ht="30" customHeight="1">
      <c r="A24" s="7" t="s">
        <v>287</v>
      </c>
      <c r="B24" s="9">
        <f>COUNTIFS(P31:P50,"Pass")+COUNTIFS(P31:P50,"Fail")</f>
        <v>0</v>
      </c>
      <c r="C24" s="22"/>
      <c r="D24" s="7" t="s">
        <v>288</v>
      </c>
      <c r="E24" s="11" t="str">
        <f>IF((COUNTIFS(I31:I50,"Yes")+COUNTIFS(I31:I50,"No"))=0,"n.a.",COUNTIFS(I31:I50,"Yes")/(COUNTIFS(I31:I50,"Yes")+COUNTIFS(I31:I50,"No")))</f>
        <v>n.a.</v>
      </c>
      <c r="F24" s="22"/>
      <c r="G24" s="7" t="s">
        <v>289</v>
      </c>
      <c r="H24" s="10" t="str">
        <f>IF(COUNT(H31:H50)=0,"n.a.",AVERAGE(H31:H50))</f>
        <v>n.a.</v>
      </c>
      <c r="I24" s="22"/>
      <c r="J24" s="7" t="s">
        <v>290</v>
      </c>
      <c r="K24" s="11" t="str">
        <f>IF(SUM(M31:M50)=0,"n.a.",SUM(N31:N50)/SUM(M31:M50))</f>
        <v>n.a.</v>
      </c>
      <c r="L24" s="22"/>
      <c r="M24" s="32" t="s">
        <v>33</v>
      </c>
      <c r="N24" s="33"/>
      <c r="O24" s="33"/>
      <c r="P24" s="33"/>
      <c r="Q24" s="34"/>
    </row>
    <row r="25" spans="1:17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5"/>
      <c r="N25" s="36"/>
      <c r="O25" s="36"/>
      <c r="P25" s="36"/>
      <c r="Q25" s="37"/>
    </row>
    <row r="26" spans="1:17" ht="30" customHeight="1">
      <c r="A26" s="7" t="s">
        <v>291</v>
      </c>
      <c r="B26" s="10" t="str">
        <f>IF(COUNT(J31:J50)=0,"n.a.",AVERAGE(J31:J50))</f>
        <v>n.a.</v>
      </c>
      <c r="C26" s="22"/>
      <c r="D26" s="7" t="s">
        <v>120</v>
      </c>
      <c r="E26" s="11" t="str">
        <f>IF((COUNTIFS(P31:P50,"Pass")+COUNTIFS(P31:P50,"Fail"))=0,"n.a.",COUNTIFS(P31:P50,"Pass")/(COUNTIFS(P31:P50,"Pass")+COUNTIFS(P31:P50,"Fail")))</f>
        <v>n.a.</v>
      </c>
      <c r="F26" s="22"/>
      <c r="G26" s="22"/>
      <c r="H26" s="22"/>
      <c r="I26" s="22"/>
      <c r="J26" s="22"/>
      <c r="K26" s="22"/>
      <c r="L26" s="22"/>
      <c r="M26" s="38"/>
      <c r="N26" s="39"/>
      <c r="O26" s="39"/>
      <c r="P26" s="39"/>
      <c r="Q26" s="40"/>
    </row>
    <row r="27" spans="1:17" ht="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8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22.05" customHeight="1">
      <c r="A29" s="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42" customHeight="1">
      <c r="A30" s="12" t="s">
        <v>121</v>
      </c>
      <c r="B30" s="12" t="s">
        <v>38</v>
      </c>
      <c r="C30" s="12" t="s">
        <v>270</v>
      </c>
      <c r="D30" s="12" t="s">
        <v>276</v>
      </c>
      <c r="E30" s="12" t="s">
        <v>218</v>
      </c>
      <c r="F30" s="12" t="s">
        <v>41</v>
      </c>
      <c r="G30" s="12" t="s">
        <v>42</v>
      </c>
      <c r="H30" s="12" t="s">
        <v>292</v>
      </c>
      <c r="I30" s="12" t="s">
        <v>293</v>
      </c>
      <c r="J30" s="12" t="s">
        <v>294</v>
      </c>
      <c r="K30" s="12" t="s">
        <v>295</v>
      </c>
      <c r="L30" s="12" t="s">
        <v>296</v>
      </c>
      <c r="M30" s="12" t="s">
        <v>297</v>
      </c>
      <c r="N30" s="12" t="s">
        <v>298</v>
      </c>
      <c r="O30" s="12" t="s">
        <v>299</v>
      </c>
      <c r="P30" s="12" t="s">
        <v>130</v>
      </c>
      <c r="Q30" s="12" t="s">
        <v>300</v>
      </c>
    </row>
    <row r="31" spans="1:17" ht="24" customHeight="1">
      <c r="A31" s="13" t="s">
        <v>301</v>
      </c>
      <c r="B31" s="14"/>
      <c r="C31" s="13"/>
      <c r="D31" s="13"/>
      <c r="E31" s="13"/>
      <c r="F31" s="16"/>
      <c r="G31" s="16"/>
      <c r="H31" s="20"/>
      <c r="I31" s="13"/>
      <c r="J31" s="16"/>
      <c r="K31" s="16"/>
      <c r="L31" s="16"/>
      <c r="M31" s="16"/>
      <c r="N31" s="16"/>
      <c r="O31" s="19" t="str">
        <f t="shared" ref="O31:O50" si="0">IF(COUNT(M31,N31)&lt;2,"",IF(M31=0,"",N31/M31))</f>
        <v/>
      </c>
      <c r="P31" s="13"/>
      <c r="Q31" s="15"/>
    </row>
    <row r="32" spans="1:17" ht="24" customHeight="1">
      <c r="A32" s="13" t="s">
        <v>302</v>
      </c>
      <c r="B32" s="14"/>
      <c r="C32" s="13"/>
      <c r="D32" s="13"/>
      <c r="E32" s="13"/>
      <c r="F32" s="16"/>
      <c r="G32" s="16"/>
      <c r="H32" s="20"/>
      <c r="I32" s="13"/>
      <c r="J32" s="16"/>
      <c r="K32" s="16"/>
      <c r="L32" s="16"/>
      <c r="M32" s="16"/>
      <c r="N32" s="16"/>
      <c r="O32" s="19" t="str">
        <f t="shared" si="0"/>
        <v/>
      </c>
      <c r="P32" s="13"/>
      <c r="Q32" s="15"/>
    </row>
    <row r="33" spans="1:17" ht="24" customHeight="1">
      <c r="A33" s="13" t="s">
        <v>303</v>
      </c>
      <c r="B33" s="14"/>
      <c r="C33" s="13"/>
      <c r="D33" s="13"/>
      <c r="E33" s="13"/>
      <c r="F33" s="16"/>
      <c r="G33" s="16"/>
      <c r="H33" s="20"/>
      <c r="I33" s="13"/>
      <c r="J33" s="16"/>
      <c r="K33" s="16"/>
      <c r="L33" s="16"/>
      <c r="M33" s="16"/>
      <c r="N33" s="16"/>
      <c r="O33" s="19" t="str">
        <f t="shared" si="0"/>
        <v/>
      </c>
      <c r="P33" s="13"/>
      <c r="Q33" s="15"/>
    </row>
    <row r="34" spans="1:17" ht="24" customHeight="1">
      <c r="A34" s="13" t="s">
        <v>304</v>
      </c>
      <c r="B34" s="14"/>
      <c r="C34" s="13"/>
      <c r="D34" s="13"/>
      <c r="E34" s="13"/>
      <c r="F34" s="16"/>
      <c r="G34" s="16"/>
      <c r="H34" s="20"/>
      <c r="I34" s="13"/>
      <c r="J34" s="16"/>
      <c r="K34" s="16"/>
      <c r="L34" s="16"/>
      <c r="M34" s="16"/>
      <c r="N34" s="16"/>
      <c r="O34" s="19" t="str">
        <f t="shared" si="0"/>
        <v/>
      </c>
      <c r="P34" s="13"/>
      <c r="Q34" s="15"/>
    </row>
    <row r="35" spans="1:17" ht="24" customHeight="1">
      <c r="A35" s="13" t="s">
        <v>305</v>
      </c>
      <c r="B35" s="14"/>
      <c r="C35" s="13"/>
      <c r="D35" s="13"/>
      <c r="E35" s="13"/>
      <c r="F35" s="16"/>
      <c r="G35" s="16"/>
      <c r="H35" s="20"/>
      <c r="I35" s="13"/>
      <c r="J35" s="16"/>
      <c r="K35" s="16"/>
      <c r="L35" s="16"/>
      <c r="M35" s="16"/>
      <c r="N35" s="16"/>
      <c r="O35" s="19" t="str">
        <f t="shared" si="0"/>
        <v/>
      </c>
      <c r="P35" s="13"/>
      <c r="Q35" s="15"/>
    </row>
    <row r="36" spans="1:17" ht="24" customHeight="1">
      <c r="A36" s="13" t="s">
        <v>306</v>
      </c>
      <c r="B36" s="14"/>
      <c r="C36" s="13"/>
      <c r="D36" s="13"/>
      <c r="E36" s="13"/>
      <c r="F36" s="16"/>
      <c r="G36" s="16"/>
      <c r="H36" s="20"/>
      <c r="I36" s="13"/>
      <c r="J36" s="16"/>
      <c r="K36" s="16"/>
      <c r="L36" s="16"/>
      <c r="M36" s="16"/>
      <c r="N36" s="16"/>
      <c r="O36" s="19" t="str">
        <f t="shared" si="0"/>
        <v/>
      </c>
      <c r="P36" s="13"/>
      <c r="Q36" s="15"/>
    </row>
    <row r="37" spans="1:17" ht="24" customHeight="1">
      <c r="A37" s="13" t="s">
        <v>307</v>
      </c>
      <c r="B37" s="14"/>
      <c r="C37" s="13"/>
      <c r="D37" s="13"/>
      <c r="E37" s="13"/>
      <c r="F37" s="16"/>
      <c r="G37" s="16"/>
      <c r="H37" s="20"/>
      <c r="I37" s="13"/>
      <c r="J37" s="16"/>
      <c r="K37" s="16"/>
      <c r="L37" s="16"/>
      <c r="M37" s="16"/>
      <c r="N37" s="16"/>
      <c r="O37" s="19" t="str">
        <f t="shared" si="0"/>
        <v/>
      </c>
      <c r="P37" s="13"/>
      <c r="Q37" s="15"/>
    </row>
    <row r="38" spans="1:17" ht="24" customHeight="1">
      <c r="A38" s="13" t="s">
        <v>308</v>
      </c>
      <c r="B38" s="14"/>
      <c r="C38" s="13"/>
      <c r="D38" s="13"/>
      <c r="E38" s="13"/>
      <c r="F38" s="16"/>
      <c r="G38" s="16"/>
      <c r="H38" s="20"/>
      <c r="I38" s="13"/>
      <c r="J38" s="16"/>
      <c r="K38" s="16"/>
      <c r="L38" s="16"/>
      <c r="M38" s="16"/>
      <c r="N38" s="16"/>
      <c r="O38" s="19" t="str">
        <f t="shared" si="0"/>
        <v/>
      </c>
      <c r="P38" s="13"/>
      <c r="Q38" s="15"/>
    </row>
    <row r="39" spans="1:17" ht="24" customHeight="1">
      <c r="A39" s="13" t="s">
        <v>309</v>
      </c>
      <c r="B39" s="14"/>
      <c r="C39" s="13"/>
      <c r="D39" s="13"/>
      <c r="E39" s="13"/>
      <c r="F39" s="16"/>
      <c r="G39" s="16"/>
      <c r="H39" s="20"/>
      <c r="I39" s="13"/>
      <c r="J39" s="16"/>
      <c r="K39" s="16"/>
      <c r="L39" s="16"/>
      <c r="M39" s="16"/>
      <c r="N39" s="16"/>
      <c r="O39" s="19" t="str">
        <f t="shared" si="0"/>
        <v/>
      </c>
      <c r="P39" s="13"/>
      <c r="Q39" s="15"/>
    </row>
    <row r="40" spans="1:17" ht="24" customHeight="1">
      <c r="A40" s="13" t="s">
        <v>310</v>
      </c>
      <c r="B40" s="14"/>
      <c r="C40" s="13"/>
      <c r="D40" s="13"/>
      <c r="E40" s="13"/>
      <c r="F40" s="16"/>
      <c r="G40" s="16"/>
      <c r="H40" s="20"/>
      <c r="I40" s="13"/>
      <c r="J40" s="16"/>
      <c r="K40" s="16"/>
      <c r="L40" s="16"/>
      <c r="M40" s="16"/>
      <c r="N40" s="16"/>
      <c r="O40" s="19" t="str">
        <f t="shared" si="0"/>
        <v/>
      </c>
      <c r="P40" s="13"/>
      <c r="Q40" s="15"/>
    </row>
    <row r="41" spans="1:17" ht="24" customHeight="1">
      <c r="A41" s="13" t="s">
        <v>311</v>
      </c>
      <c r="B41" s="14"/>
      <c r="C41" s="13"/>
      <c r="D41" s="13"/>
      <c r="E41" s="13"/>
      <c r="F41" s="16"/>
      <c r="G41" s="16"/>
      <c r="H41" s="20"/>
      <c r="I41" s="13"/>
      <c r="J41" s="16"/>
      <c r="K41" s="16"/>
      <c r="L41" s="16"/>
      <c r="M41" s="16"/>
      <c r="N41" s="16"/>
      <c r="O41" s="19" t="str">
        <f t="shared" si="0"/>
        <v/>
      </c>
      <c r="P41" s="13"/>
      <c r="Q41" s="15"/>
    </row>
    <row r="42" spans="1:17" ht="24" customHeight="1">
      <c r="A42" s="13" t="s">
        <v>312</v>
      </c>
      <c r="B42" s="14"/>
      <c r="C42" s="13"/>
      <c r="D42" s="13"/>
      <c r="E42" s="13"/>
      <c r="F42" s="16"/>
      <c r="G42" s="16"/>
      <c r="H42" s="20"/>
      <c r="I42" s="13"/>
      <c r="J42" s="16"/>
      <c r="K42" s="16"/>
      <c r="L42" s="16"/>
      <c r="M42" s="16"/>
      <c r="N42" s="16"/>
      <c r="O42" s="19" t="str">
        <f t="shared" si="0"/>
        <v/>
      </c>
      <c r="P42" s="13"/>
      <c r="Q42" s="15"/>
    </row>
    <row r="43" spans="1:17" ht="24" customHeight="1">
      <c r="A43" s="13" t="s">
        <v>313</v>
      </c>
      <c r="B43" s="14"/>
      <c r="C43" s="13"/>
      <c r="D43" s="13"/>
      <c r="E43" s="13"/>
      <c r="F43" s="16"/>
      <c r="G43" s="16"/>
      <c r="H43" s="20"/>
      <c r="I43" s="13"/>
      <c r="J43" s="16"/>
      <c r="K43" s="16"/>
      <c r="L43" s="16"/>
      <c r="M43" s="16"/>
      <c r="N43" s="16"/>
      <c r="O43" s="19" t="str">
        <f t="shared" si="0"/>
        <v/>
      </c>
      <c r="P43" s="13"/>
      <c r="Q43" s="15"/>
    </row>
    <row r="44" spans="1:17" ht="24" customHeight="1">
      <c r="A44" s="13" t="s">
        <v>314</v>
      </c>
      <c r="B44" s="14"/>
      <c r="C44" s="13"/>
      <c r="D44" s="13"/>
      <c r="E44" s="13"/>
      <c r="F44" s="16"/>
      <c r="G44" s="16"/>
      <c r="H44" s="20"/>
      <c r="I44" s="13"/>
      <c r="J44" s="16"/>
      <c r="K44" s="16"/>
      <c r="L44" s="16"/>
      <c r="M44" s="16"/>
      <c r="N44" s="16"/>
      <c r="O44" s="19" t="str">
        <f t="shared" si="0"/>
        <v/>
      </c>
      <c r="P44" s="13"/>
      <c r="Q44" s="15"/>
    </row>
    <row r="45" spans="1:17" ht="24" customHeight="1">
      <c r="A45" s="13" t="s">
        <v>315</v>
      </c>
      <c r="B45" s="14"/>
      <c r="C45" s="13"/>
      <c r="D45" s="13"/>
      <c r="E45" s="13"/>
      <c r="F45" s="16"/>
      <c r="G45" s="16"/>
      <c r="H45" s="20"/>
      <c r="I45" s="13"/>
      <c r="J45" s="16"/>
      <c r="K45" s="16"/>
      <c r="L45" s="16"/>
      <c r="M45" s="16"/>
      <c r="N45" s="16"/>
      <c r="O45" s="19" t="str">
        <f t="shared" si="0"/>
        <v/>
      </c>
      <c r="P45" s="13"/>
      <c r="Q45" s="15"/>
    </row>
    <row r="46" spans="1:17" ht="24" customHeight="1">
      <c r="A46" s="13" t="s">
        <v>316</v>
      </c>
      <c r="B46" s="14"/>
      <c r="C46" s="13"/>
      <c r="D46" s="13"/>
      <c r="E46" s="13"/>
      <c r="F46" s="16"/>
      <c r="G46" s="16"/>
      <c r="H46" s="20"/>
      <c r="I46" s="13"/>
      <c r="J46" s="16"/>
      <c r="K46" s="16"/>
      <c r="L46" s="16"/>
      <c r="M46" s="16"/>
      <c r="N46" s="16"/>
      <c r="O46" s="19" t="str">
        <f t="shared" si="0"/>
        <v/>
      </c>
      <c r="P46" s="13"/>
      <c r="Q46" s="15"/>
    </row>
    <row r="47" spans="1:17" ht="24" customHeight="1">
      <c r="A47" s="13" t="s">
        <v>317</v>
      </c>
      <c r="B47" s="14"/>
      <c r="C47" s="13"/>
      <c r="D47" s="13"/>
      <c r="E47" s="13"/>
      <c r="F47" s="16"/>
      <c r="G47" s="16"/>
      <c r="H47" s="20"/>
      <c r="I47" s="13"/>
      <c r="J47" s="16"/>
      <c r="K47" s="16"/>
      <c r="L47" s="16"/>
      <c r="M47" s="16"/>
      <c r="N47" s="16"/>
      <c r="O47" s="19" t="str">
        <f t="shared" si="0"/>
        <v/>
      </c>
      <c r="P47" s="13"/>
      <c r="Q47" s="15"/>
    </row>
    <row r="48" spans="1:17" ht="24" customHeight="1">
      <c r="A48" s="13" t="s">
        <v>318</v>
      </c>
      <c r="B48" s="14"/>
      <c r="C48" s="13"/>
      <c r="D48" s="13"/>
      <c r="E48" s="13"/>
      <c r="F48" s="16"/>
      <c r="G48" s="16"/>
      <c r="H48" s="20"/>
      <c r="I48" s="13"/>
      <c r="J48" s="16"/>
      <c r="K48" s="16"/>
      <c r="L48" s="16"/>
      <c r="M48" s="16"/>
      <c r="N48" s="16"/>
      <c r="O48" s="19" t="str">
        <f t="shared" si="0"/>
        <v/>
      </c>
      <c r="P48" s="13"/>
      <c r="Q48" s="15"/>
    </row>
    <row r="49" spans="1:17" ht="24" customHeight="1">
      <c r="A49" s="13" t="s">
        <v>319</v>
      </c>
      <c r="B49" s="14"/>
      <c r="C49" s="13"/>
      <c r="D49" s="13"/>
      <c r="E49" s="13"/>
      <c r="F49" s="16"/>
      <c r="G49" s="16"/>
      <c r="H49" s="20"/>
      <c r="I49" s="13"/>
      <c r="J49" s="16"/>
      <c r="K49" s="16"/>
      <c r="L49" s="16"/>
      <c r="M49" s="16"/>
      <c r="N49" s="16"/>
      <c r="O49" s="19" t="str">
        <f t="shared" si="0"/>
        <v/>
      </c>
      <c r="P49" s="13"/>
      <c r="Q49" s="15"/>
    </row>
    <row r="50" spans="1:17" ht="24" customHeight="1">
      <c r="A50" s="13" t="s">
        <v>320</v>
      </c>
      <c r="B50" s="14"/>
      <c r="C50" s="13"/>
      <c r="D50" s="13"/>
      <c r="E50" s="13"/>
      <c r="F50" s="16"/>
      <c r="G50" s="16"/>
      <c r="H50" s="20"/>
      <c r="I50" s="13"/>
      <c r="J50" s="16"/>
      <c r="K50" s="16"/>
      <c r="L50" s="16"/>
      <c r="M50" s="16"/>
      <c r="N50" s="16"/>
      <c r="O50" s="19" t="str">
        <f t="shared" si="0"/>
        <v/>
      </c>
      <c r="P50" s="13"/>
      <c r="Q50" s="15"/>
    </row>
  </sheetData>
  <mergeCells count="19">
    <mergeCell ref="M24:Q26"/>
    <mergeCell ref="B17:Q17"/>
    <mergeCell ref="B18:Q18"/>
    <mergeCell ref="B19:Q19"/>
    <mergeCell ref="B20:Q20"/>
    <mergeCell ref="B21:Q21"/>
    <mergeCell ref="B13:D13"/>
    <mergeCell ref="G13:I13"/>
    <mergeCell ref="L13:Q13"/>
    <mergeCell ref="B14:D14"/>
    <mergeCell ref="G14:I14"/>
    <mergeCell ref="L14:Q14"/>
    <mergeCell ref="B6:Q6"/>
    <mergeCell ref="B7:Q7"/>
    <mergeCell ref="B8:Q8"/>
    <mergeCell ref="B9:Q9"/>
    <mergeCell ref="B12:D12"/>
    <mergeCell ref="G12:I12"/>
    <mergeCell ref="L12:Q12"/>
  </mergeCells>
  <conditionalFormatting sqref="P31:P50">
    <cfRule type="containsText" dxfId="7" priority="1" operator="containsText" text="Pass"/>
    <cfRule type="containsText" dxfId="6" priority="2" operator="containsText" text="Fail"/>
    <cfRule type="containsText" dxfId="5" priority="3" operator="containsText" text="Invalid"/>
  </conditionalFormatting>
  <dataValidations count="2">
    <dataValidation type="list" sqref="I31:I50" xr:uid="{00000000-0002-0000-0400-000000000000}">
      <formula1>"Yes,No"</formula1>
    </dataValidation>
    <dataValidation type="list" sqref="P31:P50" xr:uid="{00000000-0002-0000-0400-000001000000}">
      <formula1>"Pass,Fail,Invalid"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Q60"/>
  <sheetViews>
    <sheetView showGridLines="0" topLeftCell="A13" workbookViewId="0"/>
  </sheetViews>
  <sheetFormatPr defaultRowHeight="13.5"/>
  <cols>
    <col min="1" max="1" width="17" customWidth="1"/>
    <col min="2" max="2" width="12" customWidth="1"/>
    <col min="3" max="3" width="19" customWidth="1"/>
    <col min="4" max="5" width="17" customWidth="1"/>
    <col min="6" max="6" width="18" customWidth="1"/>
    <col min="7" max="7" width="30" customWidth="1"/>
    <col min="8" max="8" width="15" customWidth="1"/>
    <col min="9" max="9" width="12" customWidth="1"/>
    <col min="10" max="10" width="11" customWidth="1"/>
    <col min="11" max="11" width="17" customWidth="1"/>
    <col min="12" max="12" width="11" customWidth="1"/>
    <col min="13" max="13" width="17" customWidth="1"/>
    <col min="14" max="14" width="22" customWidth="1"/>
    <col min="15" max="15" width="23" customWidth="1"/>
    <col min="16" max="16" width="30" customWidth="1"/>
  </cols>
  <sheetData>
    <row r="1" spans="1:17" ht="8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5.05" customHeight="1">
      <c r="A2" s="1" t="s">
        <v>321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22.05" customHeight="1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31.05" customHeight="1">
      <c r="A6" s="6" t="s">
        <v>3</v>
      </c>
      <c r="B6" s="26" t="s">
        <v>322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ht="31.05" customHeight="1">
      <c r="A7" s="6" t="s">
        <v>5</v>
      </c>
      <c r="B7" s="26" t="s">
        <v>323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1.05" customHeight="1">
      <c r="A8" s="6" t="s">
        <v>7</v>
      </c>
      <c r="B8" s="26" t="s">
        <v>324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ht="38" customHeight="1">
      <c r="A9" s="6" t="s">
        <v>9</v>
      </c>
      <c r="B9" s="26" t="s">
        <v>325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ht="8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2.05" customHeight="1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ht="29" customHeight="1">
      <c r="A12" s="7" t="s">
        <v>12</v>
      </c>
      <c r="B12" s="29" t="s">
        <v>13</v>
      </c>
      <c r="C12" s="30"/>
      <c r="D12" s="31"/>
      <c r="E12" s="22"/>
      <c r="F12" s="7" t="s">
        <v>326</v>
      </c>
      <c r="G12" s="29" t="s">
        <v>327</v>
      </c>
      <c r="H12" s="30"/>
      <c r="I12" s="31"/>
      <c r="J12" s="22"/>
      <c r="K12" s="7" t="s">
        <v>16</v>
      </c>
      <c r="L12" s="29"/>
      <c r="M12" s="30"/>
      <c r="N12" s="30"/>
      <c r="O12" s="30"/>
      <c r="P12" s="30"/>
      <c r="Q12" s="31"/>
    </row>
    <row r="13" spans="1:17" ht="29" customHeight="1">
      <c r="A13" s="7" t="s">
        <v>328</v>
      </c>
      <c r="B13" s="29" t="s">
        <v>329</v>
      </c>
      <c r="C13" s="30"/>
      <c r="D13" s="31"/>
      <c r="E13" s="22"/>
      <c r="F13" s="7" t="s">
        <v>330</v>
      </c>
      <c r="G13" s="29" t="s">
        <v>331</v>
      </c>
      <c r="H13" s="30"/>
      <c r="I13" s="31"/>
      <c r="J13" s="22"/>
      <c r="K13" s="7" t="s">
        <v>332</v>
      </c>
      <c r="L13" s="29"/>
      <c r="M13" s="30"/>
      <c r="N13" s="30"/>
      <c r="O13" s="30"/>
      <c r="P13" s="30"/>
      <c r="Q13" s="31"/>
    </row>
    <row r="14" spans="1:17" ht="29" customHeight="1">
      <c r="A14" s="7" t="s">
        <v>333</v>
      </c>
      <c r="B14" s="29" t="s">
        <v>334</v>
      </c>
      <c r="C14" s="30"/>
      <c r="D14" s="31"/>
      <c r="E14" s="22"/>
      <c r="F14" s="7" t="s">
        <v>335</v>
      </c>
      <c r="G14" s="29" t="s">
        <v>336</v>
      </c>
      <c r="H14" s="30"/>
      <c r="I14" s="31"/>
      <c r="J14" s="22"/>
      <c r="K14" s="7" t="s">
        <v>23</v>
      </c>
      <c r="L14" s="29"/>
      <c r="M14" s="30"/>
      <c r="N14" s="30"/>
      <c r="O14" s="30"/>
      <c r="P14" s="30"/>
      <c r="Q14" s="31"/>
    </row>
    <row r="15" spans="1:17" ht="8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22.05" customHeight="1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ht="28.05" customHeight="1">
      <c r="A17" s="8">
        <v>1</v>
      </c>
      <c r="B17" s="26" t="s">
        <v>337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1:17" ht="28.05" customHeight="1">
      <c r="A18" s="8">
        <v>2</v>
      </c>
      <c r="B18" s="26" t="s">
        <v>338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1:17" ht="28.05" customHeight="1">
      <c r="A19" s="8">
        <v>3</v>
      </c>
      <c r="B19" s="26" t="s">
        <v>339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28.05" customHeight="1">
      <c r="A20" s="8">
        <v>4</v>
      </c>
      <c r="B20" s="26" t="s">
        <v>340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8.05" customHeight="1">
      <c r="A21" s="8">
        <v>5</v>
      </c>
      <c r="B21" s="26" t="s">
        <v>341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1:17" ht="8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22.05" customHeight="1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spans="1:17" ht="30" customHeight="1">
      <c r="A24" s="7" t="s">
        <v>342</v>
      </c>
      <c r="B24" s="9">
        <f>COUNTIFS(L31:L60,"Pass")+COUNTIFS(L31:L60,"Fail")</f>
        <v>0</v>
      </c>
      <c r="C24" s="22"/>
      <c r="D24" s="7" t="s">
        <v>120</v>
      </c>
      <c r="E24" s="11" t="str">
        <f>IF((COUNTIFS(L31:L60,"Pass")+COUNTIFS(L31:L60,"Fail"))=0,"n.a.",COUNTIFS(L31:L60,"Pass")/(COUNTIFS(L31:L60,"Pass")+COUNTIFS(L31:L60,"Fail")))</f>
        <v>n.a.</v>
      </c>
      <c r="F24" s="22"/>
      <c r="G24" s="7" t="s">
        <v>343</v>
      </c>
      <c r="H24" s="9" t="str">
        <f>IF(COUNT(H31:H60)=0,"n.a.",AVERAGE(H31:H60))</f>
        <v>n.a.</v>
      </c>
      <c r="I24" s="22"/>
      <c r="J24" s="7" t="s">
        <v>344</v>
      </c>
      <c r="K24" s="10" t="str">
        <f>IF(COUNT(K31:K60)=0,"n.a.",AVERAGE(K31:K60))</f>
        <v>n.a.</v>
      </c>
      <c r="L24" s="22"/>
      <c r="M24" s="32" t="s">
        <v>33</v>
      </c>
      <c r="N24" s="33"/>
      <c r="O24" s="33"/>
      <c r="P24" s="33"/>
      <c r="Q24" s="34"/>
    </row>
    <row r="25" spans="1:17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5"/>
      <c r="N25" s="36"/>
      <c r="O25" s="36"/>
      <c r="P25" s="36"/>
      <c r="Q25" s="37"/>
    </row>
    <row r="26" spans="1:17" ht="30" customHeight="1">
      <c r="A26" s="7" t="s">
        <v>345</v>
      </c>
      <c r="B26" s="9">
        <f>COUNTIFS(I31:I60,"Yes")</f>
        <v>0</v>
      </c>
      <c r="C26" s="22"/>
      <c r="D26" s="7" t="s">
        <v>346</v>
      </c>
      <c r="E26" s="9">
        <f>COUNTIFS(J31:J60,"Yes")</f>
        <v>0</v>
      </c>
      <c r="F26" s="22"/>
      <c r="G26" s="22"/>
      <c r="H26" s="22"/>
      <c r="I26" s="22"/>
      <c r="J26" s="22"/>
      <c r="K26" s="22"/>
      <c r="L26" s="22"/>
      <c r="M26" s="38"/>
      <c r="N26" s="39"/>
      <c r="O26" s="39"/>
      <c r="P26" s="39"/>
      <c r="Q26" s="40"/>
    </row>
    <row r="27" spans="1:17" ht="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8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22.05" customHeight="1">
      <c r="A29" s="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42" customHeight="1">
      <c r="A30" s="12" t="s">
        <v>347</v>
      </c>
      <c r="B30" s="12" t="s">
        <v>38</v>
      </c>
      <c r="C30" s="12" t="s">
        <v>348</v>
      </c>
      <c r="D30" s="12" t="s">
        <v>349</v>
      </c>
      <c r="E30" s="12" t="s">
        <v>350</v>
      </c>
      <c r="F30" s="12" t="s">
        <v>351</v>
      </c>
      <c r="G30" s="12" t="s">
        <v>352</v>
      </c>
      <c r="H30" s="12" t="s">
        <v>353</v>
      </c>
      <c r="I30" s="12" t="s">
        <v>354</v>
      </c>
      <c r="J30" s="12" t="s">
        <v>355</v>
      </c>
      <c r="K30" s="12" t="s">
        <v>356</v>
      </c>
      <c r="L30" s="12" t="s">
        <v>130</v>
      </c>
      <c r="M30" s="12" t="s">
        <v>357</v>
      </c>
      <c r="N30" s="12" t="s">
        <v>358</v>
      </c>
      <c r="O30" s="12" t="s">
        <v>359</v>
      </c>
      <c r="P30" s="12" t="s">
        <v>53</v>
      </c>
      <c r="Q30" s="22"/>
    </row>
    <row r="31" spans="1:17" ht="24" customHeight="1">
      <c r="A31" s="13" t="s">
        <v>360</v>
      </c>
      <c r="B31" s="14"/>
      <c r="C31" s="13"/>
      <c r="D31" s="13"/>
      <c r="E31" s="15"/>
      <c r="F31" s="15"/>
      <c r="G31" s="15"/>
      <c r="H31" s="16"/>
      <c r="I31" s="13"/>
      <c r="J31" s="13"/>
      <c r="K31" s="20"/>
      <c r="L31" s="13"/>
      <c r="M31" s="13"/>
      <c r="N31" s="13"/>
      <c r="O31" s="13"/>
      <c r="P31" s="15"/>
      <c r="Q31" s="22"/>
    </row>
    <row r="32" spans="1:17" ht="24" customHeight="1">
      <c r="A32" s="13" t="s">
        <v>361</v>
      </c>
      <c r="B32" s="14"/>
      <c r="C32" s="13"/>
      <c r="D32" s="13"/>
      <c r="E32" s="15"/>
      <c r="F32" s="15"/>
      <c r="G32" s="15"/>
      <c r="H32" s="16"/>
      <c r="I32" s="13"/>
      <c r="J32" s="13"/>
      <c r="K32" s="20"/>
      <c r="L32" s="13"/>
      <c r="M32" s="13"/>
      <c r="N32" s="13"/>
      <c r="O32" s="13"/>
      <c r="P32" s="15"/>
      <c r="Q32" s="22"/>
    </row>
    <row r="33" spans="1:17" ht="24" customHeight="1">
      <c r="A33" s="13" t="s">
        <v>362</v>
      </c>
      <c r="B33" s="14"/>
      <c r="C33" s="13"/>
      <c r="D33" s="13"/>
      <c r="E33" s="15"/>
      <c r="F33" s="15"/>
      <c r="G33" s="15"/>
      <c r="H33" s="16"/>
      <c r="I33" s="13"/>
      <c r="J33" s="13"/>
      <c r="K33" s="20"/>
      <c r="L33" s="13"/>
      <c r="M33" s="13"/>
      <c r="N33" s="13"/>
      <c r="O33" s="13"/>
      <c r="P33" s="15"/>
      <c r="Q33" s="22"/>
    </row>
    <row r="34" spans="1:17" ht="24" customHeight="1">
      <c r="A34" s="13" t="s">
        <v>363</v>
      </c>
      <c r="B34" s="14"/>
      <c r="C34" s="13"/>
      <c r="D34" s="13"/>
      <c r="E34" s="15"/>
      <c r="F34" s="15"/>
      <c r="G34" s="15"/>
      <c r="H34" s="16"/>
      <c r="I34" s="13"/>
      <c r="J34" s="13"/>
      <c r="K34" s="20"/>
      <c r="L34" s="13"/>
      <c r="M34" s="13"/>
      <c r="N34" s="13"/>
      <c r="O34" s="13"/>
      <c r="P34" s="15"/>
      <c r="Q34" s="22"/>
    </row>
    <row r="35" spans="1:17" ht="24" customHeight="1">
      <c r="A35" s="13" t="s">
        <v>364</v>
      </c>
      <c r="B35" s="14"/>
      <c r="C35" s="13"/>
      <c r="D35" s="13"/>
      <c r="E35" s="15"/>
      <c r="F35" s="15"/>
      <c r="G35" s="15"/>
      <c r="H35" s="16"/>
      <c r="I35" s="13"/>
      <c r="J35" s="13"/>
      <c r="K35" s="20"/>
      <c r="L35" s="13"/>
      <c r="M35" s="13"/>
      <c r="N35" s="13"/>
      <c r="O35" s="13"/>
      <c r="P35" s="15"/>
      <c r="Q35" s="22"/>
    </row>
    <row r="36" spans="1:17" ht="24" customHeight="1">
      <c r="A36" s="13" t="s">
        <v>365</v>
      </c>
      <c r="B36" s="14"/>
      <c r="C36" s="13"/>
      <c r="D36" s="13"/>
      <c r="E36" s="15"/>
      <c r="F36" s="15"/>
      <c r="G36" s="15"/>
      <c r="H36" s="16"/>
      <c r="I36" s="13"/>
      <c r="J36" s="13"/>
      <c r="K36" s="20"/>
      <c r="L36" s="13"/>
      <c r="M36" s="13"/>
      <c r="N36" s="13"/>
      <c r="O36" s="13"/>
      <c r="P36" s="15"/>
      <c r="Q36" s="22"/>
    </row>
    <row r="37" spans="1:17" ht="24" customHeight="1">
      <c r="A37" s="13" t="s">
        <v>366</v>
      </c>
      <c r="B37" s="14"/>
      <c r="C37" s="13"/>
      <c r="D37" s="13"/>
      <c r="E37" s="15"/>
      <c r="F37" s="15"/>
      <c r="G37" s="15"/>
      <c r="H37" s="16"/>
      <c r="I37" s="13"/>
      <c r="J37" s="13"/>
      <c r="K37" s="20"/>
      <c r="L37" s="13"/>
      <c r="M37" s="13"/>
      <c r="N37" s="13"/>
      <c r="O37" s="13"/>
      <c r="P37" s="15"/>
      <c r="Q37" s="22"/>
    </row>
    <row r="38" spans="1:17" ht="24" customHeight="1">
      <c r="A38" s="13" t="s">
        <v>367</v>
      </c>
      <c r="B38" s="14"/>
      <c r="C38" s="13"/>
      <c r="D38" s="13"/>
      <c r="E38" s="15"/>
      <c r="F38" s="15"/>
      <c r="G38" s="15"/>
      <c r="H38" s="16"/>
      <c r="I38" s="13"/>
      <c r="J38" s="13"/>
      <c r="K38" s="20"/>
      <c r="L38" s="13"/>
      <c r="M38" s="13"/>
      <c r="N38" s="13"/>
      <c r="O38" s="13"/>
      <c r="P38" s="15"/>
      <c r="Q38" s="22"/>
    </row>
    <row r="39" spans="1:17" ht="24" customHeight="1">
      <c r="A39" s="13" t="s">
        <v>368</v>
      </c>
      <c r="B39" s="14"/>
      <c r="C39" s="13"/>
      <c r="D39" s="13"/>
      <c r="E39" s="15"/>
      <c r="F39" s="15"/>
      <c r="G39" s="15"/>
      <c r="H39" s="16"/>
      <c r="I39" s="13"/>
      <c r="J39" s="13"/>
      <c r="K39" s="20"/>
      <c r="L39" s="13"/>
      <c r="M39" s="13"/>
      <c r="N39" s="13"/>
      <c r="O39" s="13"/>
      <c r="P39" s="15"/>
      <c r="Q39" s="22"/>
    </row>
    <row r="40" spans="1:17" ht="24" customHeight="1">
      <c r="A40" s="13" t="s">
        <v>369</v>
      </c>
      <c r="B40" s="14"/>
      <c r="C40" s="13"/>
      <c r="D40" s="13"/>
      <c r="E40" s="15"/>
      <c r="F40" s="15"/>
      <c r="G40" s="15"/>
      <c r="H40" s="16"/>
      <c r="I40" s="13"/>
      <c r="J40" s="13"/>
      <c r="K40" s="20"/>
      <c r="L40" s="13"/>
      <c r="M40" s="13"/>
      <c r="N40" s="13"/>
      <c r="O40" s="13"/>
      <c r="P40" s="15"/>
      <c r="Q40" s="22"/>
    </row>
    <row r="41" spans="1:17" ht="24" customHeight="1">
      <c r="A41" s="13" t="s">
        <v>370</v>
      </c>
      <c r="B41" s="14"/>
      <c r="C41" s="13"/>
      <c r="D41" s="13"/>
      <c r="E41" s="15"/>
      <c r="F41" s="15"/>
      <c r="G41" s="15"/>
      <c r="H41" s="16"/>
      <c r="I41" s="13"/>
      <c r="J41" s="13"/>
      <c r="K41" s="20"/>
      <c r="L41" s="13"/>
      <c r="M41" s="13"/>
      <c r="N41" s="13"/>
      <c r="O41" s="13"/>
      <c r="P41" s="15"/>
      <c r="Q41" s="22"/>
    </row>
    <row r="42" spans="1:17" ht="24" customHeight="1">
      <c r="A42" s="13" t="s">
        <v>371</v>
      </c>
      <c r="B42" s="14"/>
      <c r="C42" s="13"/>
      <c r="D42" s="13"/>
      <c r="E42" s="15"/>
      <c r="F42" s="15"/>
      <c r="G42" s="15"/>
      <c r="H42" s="16"/>
      <c r="I42" s="13"/>
      <c r="J42" s="13"/>
      <c r="K42" s="20"/>
      <c r="L42" s="13"/>
      <c r="M42" s="13"/>
      <c r="N42" s="13"/>
      <c r="O42" s="13"/>
      <c r="P42" s="15"/>
      <c r="Q42" s="22"/>
    </row>
    <row r="43" spans="1:17" ht="24" customHeight="1">
      <c r="A43" s="13" t="s">
        <v>372</v>
      </c>
      <c r="B43" s="14"/>
      <c r="C43" s="13"/>
      <c r="D43" s="13"/>
      <c r="E43" s="15"/>
      <c r="F43" s="15"/>
      <c r="G43" s="15"/>
      <c r="H43" s="16"/>
      <c r="I43" s="13"/>
      <c r="J43" s="13"/>
      <c r="K43" s="20"/>
      <c r="L43" s="13"/>
      <c r="M43" s="13"/>
      <c r="N43" s="13"/>
      <c r="O43" s="13"/>
      <c r="P43" s="15"/>
      <c r="Q43" s="22"/>
    </row>
    <row r="44" spans="1:17" ht="24" customHeight="1">
      <c r="A44" s="13" t="s">
        <v>373</v>
      </c>
      <c r="B44" s="14"/>
      <c r="C44" s="13"/>
      <c r="D44" s="13"/>
      <c r="E44" s="15"/>
      <c r="F44" s="15"/>
      <c r="G44" s="15"/>
      <c r="H44" s="16"/>
      <c r="I44" s="13"/>
      <c r="J44" s="13"/>
      <c r="K44" s="20"/>
      <c r="L44" s="13"/>
      <c r="M44" s="13"/>
      <c r="N44" s="13"/>
      <c r="O44" s="13"/>
      <c r="P44" s="15"/>
      <c r="Q44" s="22"/>
    </row>
    <row r="45" spans="1:17" ht="24" customHeight="1">
      <c r="A45" s="13" t="s">
        <v>374</v>
      </c>
      <c r="B45" s="14"/>
      <c r="C45" s="13"/>
      <c r="D45" s="13"/>
      <c r="E45" s="15"/>
      <c r="F45" s="15"/>
      <c r="G45" s="15"/>
      <c r="H45" s="16"/>
      <c r="I45" s="13"/>
      <c r="J45" s="13"/>
      <c r="K45" s="20"/>
      <c r="L45" s="13"/>
      <c r="M45" s="13"/>
      <c r="N45" s="13"/>
      <c r="O45" s="13"/>
      <c r="P45" s="15"/>
      <c r="Q45" s="22"/>
    </row>
    <row r="46" spans="1:17" ht="24" customHeight="1">
      <c r="A46" s="13" t="s">
        <v>375</v>
      </c>
      <c r="B46" s="14"/>
      <c r="C46" s="13"/>
      <c r="D46" s="13"/>
      <c r="E46" s="15"/>
      <c r="F46" s="15"/>
      <c r="G46" s="15"/>
      <c r="H46" s="16"/>
      <c r="I46" s="13"/>
      <c r="J46" s="13"/>
      <c r="K46" s="20"/>
      <c r="L46" s="13"/>
      <c r="M46" s="13"/>
      <c r="N46" s="13"/>
      <c r="O46" s="13"/>
      <c r="P46" s="15"/>
      <c r="Q46" s="22"/>
    </row>
    <row r="47" spans="1:17" ht="24" customHeight="1">
      <c r="A47" s="13" t="s">
        <v>376</v>
      </c>
      <c r="B47" s="14"/>
      <c r="C47" s="13"/>
      <c r="D47" s="13"/>
      <c r="E47" s="15"/>
      <c r="F47" s="15"/>
      <c r="G47" s="15"/>
      <c r="H47" s="16"/>
      <c r="I47" s="13"/>
      <c r="J47" s="13"/>
      <c r="K47" s="20"/>
      <c r="L47" s="13"/>
      <c r="M47" s="13"/>
      <c r="N47" s="13"/>
      <c r="O47" s="13"/>
      <c r="P47" s="15"/>
      <c r="Q47" s="22"/>
    </row>
    <row r="48" spans="1:17" ht="24" customHeight="1">
      <c r="A48" s="13" t="s">
        <v>377</v>
      </c>
      <c r="B48" s="14"/>
      <c r="C48" s="13"/>
      <c r="D48" s="13"/>
      <c r="E48" s="15"/>
      <c r="F48" s="15"/>
      <c r="G48" s="15"/>
      <c r="H48" s="16"/>
      <c r="I48" s="13"/>
      <c r="J48" s="13"/>
      <c r="K48" s="20"/>
      <c r="L48" s="13"/>
      <c r="M48" s="13"/>
      <c r="N48" s="13"/>
      <c r="O48" s="13"/>
      <c r="P48" s="15"/>
      <c r="Q48" s="22"/>
    </row>
    <row r="49" spans="1:17" ht="24" customHeight="1">
      <c r="A49" s="13" t="s">
        <v>378</v>
      </c>
      <c r="B49" s="14"/>
      <c r="C49" s="13"/>
      <c r="D49" s="13"/>
      <c r="E49" s="15"/>
      <c r="F49" s="15"/>
      <c r="G49" s="15"/>
      <c r="H49" s="16"/>
      <c r="I49" s="13"/>
      <c r="J49" s="13"/>
      <c r="K49" s="20"/>
      <c r="L49" s="13"/>
      <c r="M49" s="13"/>
      <c r="N49" s="13"/>
      <c r="O49" s="13"/>
      <c r="P49" s="15"/>
      <c r="Q49" s="22"/>
    </row>
    <row r="50" spans="1:17" ht="24" customHeight="1">
      <c r="A50" s="13" t="s">
        <v>379</v>
      </c>
      <c r="B50" s="14"/>
      <c r="C50" s="13"/>
      <c r="D50" s="13"/>
      <c r="E50" s="15"/>
      <c r="F50" s="15"/>
      <c r="G50" s="15"/>
      <c r="H50" s="16"/>
      <c r="I50" s="13"/>
      <c r="J50" s="13"/>
      <c r="K50" s="20"/>
      <c r="L50" s="13"/>
      <c r="M50" s="13"/>
      <c r="N50" s="13"/>
      <c r="O50" s="13"/>
      <c r="P50" s="15"/>
      <c r="Q50" s="22"/>
    </row>
    <row r="51" spans="1:17" ht="24" customHeight="1">
      <c r="A51" s="13" t="s">
        <v>380</v>
      </c>
      <c r="B51" s="14"/>
      <c r="C51" s="13"/>
      <c r="D51" s="13"/>
      <c r="E51" s="15"/>
      <c r="F51" s="15"/>
      <c r="G51" s="15"/>
      <c r="H51" s="16"/>
      <c r="I51" s="13"/>
      <c r="J51" s="13"/>
      <c r="K51" s="20"/>
      <c r="L51" s="13"/>
      <c r="M51" s="13"/>
      <c r="N51" s="13"/>
      <c r="O51" s="13"/>
      <c r="P51" s="15"/>
      <c r="Q51" s="22"/>
    </row>
    <row r="52" spans="1:17" ht="24" customHeight="1">
      <c r="A52" s="13" t="s">
        <v>381</v>
      </c>
      <c r="B52" s="14"/>
      <c r="C52" s="13"/>
      <c r="D52" s="13"/>
      <c r="E52" s="15"/>
      <c r="F52" s="15"/>
      <c r="G52" s="15"/>
      <c r="H52" s="16"/>
      <c r="I52" s="13"/>
      <c r="J52" s="13"/>
      <c r="K52" s="20"/>
      <c r="L52" s="13"/>
      <c r="M52" s="13"/>
      <c r="N52" s="13"/>
      <c r="O52" s="13"/>
      <c r="P52" s="15"/>
      <c r="Q52" s="22"/>
    </row>
    <row r="53" spans="1:17" ht="24" customHeight="1">
      <c r="A53" s="13" t="s">
        <v>382</v>
      </c>
      <c r="B53" s="14"/>
      <c r="C53" s="13"/>
      <c r="D53" s="13"/>
      <c r="E53" s="15"/>
      <c r="F53" s="15"/>
      <c r="G53" s="15"/>
      <c r="H53" s="16"/>
      <c r="I53" s="13"/>
      <c r="J53" s="13"/>
      <c r="K53" s="20"/>
      <c r="L53" s="13"/>
      <c r="M53" s="13"/>
      <c r="N53" s="13"/>
      <c r="O53" s="13"/>
      <c r="P53" s="15"/>
      <c r="Q53" s="22"/>
    </row>
    <row r="54" spans="1:17" ht="24" customHeight="1">
      <c r="A54" s="13" t="s">
        <v>383</v>
      </c>
      <c r="B54" s="14"/>
      <c r="C54" s="13"/>
      <c r="D54" s="13"/>
      <c r="E54" s="15"/>
      <c r="F54" s="15"/>
      <c r="G54" s="15"/>
      <c r="H54" s="16"/>
      <c r="I54" s="13"/>
      <c r="J54" s="13"/>
      <c r="K54" s="20"/>
      <c r="L54" s="13"/>
      <c r="M54" s="13"/>
      <c r="N54" s="13"/>
      <c r="O54" s="13"/>
      <c r="P54" s="15"/>
      <c r="Q54" s="22"/>
    </row>
    <row r="55" spans="1:17" ht="24" customHeight="1">
      <c r="A55" s="13" t="s">
        <v>384</v>
      </c>
      <c r="B55" s="14"/>
      <c r="C55" s="13"/>
      <c r="D55" s="13"/>
      <c r="E55" s="15"/>
      <c r="F55" s="15"/>
      <c r="G55" s="15"/>
      <c r="H55" s="16"/>
      <c r="I55" s="13"/>
      <c r="J55" s="13"/>
      <c r="K55" s="20"/>
      <c r="L55" s="13"/>
      <c r="M55" s="13"/>
      <c r="N55" s="13"/>
      <c r="O55" s="13"/>
      <c r="P55" s="15"/>
      <c r="Q55" s="22"/>
    </row>
    <row r="56" spans="1:17" ht="24" customHeight="1">
      <c r="A56" s="13" t="s">
        <v>385</v>
      </c>
      <c r="B56" s="14"/>
      <c r="C56" s="13"/>
      <c r="D56" s="13"/>
      <c r="E56" s="15"/>
      <c r="F56" s="15"/>
      <c r="G56" s="15"/>
      <c r="H56" s="16"/>
      <c r="I56" s="13"/>
      <c r="J56" s="13"/>
      <c r="K56" s="20"/>
      <c r="L56" s="13"/>
      <c r="M56" s="13"/>
      <c r="N56" s="13"/>
      <c r="O56" s="13"/>
      <c r="P56" s="15"/>
      <c r="Q56" s="22"/>
    </row>
    <row r="57" spans="1:17" ht="24" customHeight="1">
      <c r="A57" s="13" t="s">
        <v>386</v>
      </c>
      <c r="B57" s="14"/>
      <c r="C57" s="13"/>
      <c r="D57" s="13"/>
      <c r="E57" s="15"/>
      <c r="F57" s="15"/>
      <c r="G57" s="15"/>
      <c r="H57" s="16"/>
      <c r="I57" s="13"/>
      <c r="J57" s="13"/>
      <c r="K57" s="20"/>
      <c r="L57" s="13"/>
      <c r="M57" s="13"/>
      <c r="N57" s="13"/>
      <c r="O57" s="13"/>
      <c r="P57" s="15"/>
      <c r="Q57" s="22"/>
    </row>
    <row r="58" spans="1:17" ht="24" customHeight="1">
      <c r="A58" s="13" t="s">
        <v>387</v>
      </c>
      <c r="B58" s="14"/>
      <c r="C58" s="13"/>
      <c r="D58" s="13"/>
      <c r="E58" s="15"/>
      <c r="F58" s="15"/>
      <c r="G58" s="15"/>
      <c r="H58" s="16"/>
      <c r="I58" s="13"/>
      <c r="J58" s="13"/>
      <c r="K58" s="20"/>
      <c r="L58" s="13"/>
      <c r="M58" s="13"/>
      <c r="N58" s="13"/>
      <c r="O58" s="13"/>
      <c r="P58" s="15"/>
      <c r="Q58" s="22"/>
    </row>
    <row r="59" spans="1:17" ht="24" customHeight="1">
      <c r="A59" s="13" t="s">
        <v>388</v>
      </c>
      <c r="B59" s="14"/>
      <c r="C59" s="13"/>
      <c r="D59" s="13"/>
      <c r="E59" s="15"/>
      <c r="F59" s="15"/>
      <c r="G59" s="15"/>
      <c r="H59" s="16"/>
      <c r="I59" s="13"/>
      <c r="J59" s="13"/>
      <c r="K59" s="20"/>
      <c r="L59" s="13"/>
      <c r="M59" s="13"/>
      <c r="N59" s="13"/>
      <c r="O59" s="13"/>
      <c r="P59" s="15"/>
      <c r="Q59" s="22"/>
    </row>
    <row r="60" spans="1:17" ht="24" customHeight="1">
      <c r="A60" s="13" t="s">
        <v>389</v>
      </c>
      <c r="B60" s="14"/>
      <c r="C60" s="13"/>
      <c r="D60" s="13"/>
      <c r="E60" s="15"/>
      <c r="F60" s="15"/>
      <c r="G60" s="15"/>
      <c r="H60" s="16"/>
      <c r="I60" s="13"/>
      <c r="J60" s="13"/>
      <c r="K60" s="20"/>
      <c r="L60" s="13"/>
      <c r="M60" s="13"/>
      <c r="N60" s="13"/>
      <c r="O60" s="13"/>
      <c r="P60" s="15"/>
      <c r="Q60" s="22"/>
    </row>
  </sheetData>
  <mergeCells count="19">
    <mergeCell ref="M24:Q26"/>
    <mergeCell ref="B17:Q17"/>
    <mergeCell ref="B18:Q18"/>
    <mergeCell ref="B19:Q19"/>
    <mergeCell ref="B20:Q20"/>
    <mergeCell ref="B21:Q21"/>
    <mergeCell ref="B13:D13"/>
    <mergeCell ref="G13:I13"/>
    <mergeCell ref="L13:Q13"/>
    <mergeCell ref="B14:D14"/>
    <mergeCell ref="G14:I14"/>
    <mergeCell ref="L14:Q14"/>
    <mergeCell ref="B6:Q6"/>
    <mergeCell ref="B7:Q7"/>
    <mergeCell ref="B8:Q8"/>
    <mergeCell ref="B9:Q9"/>
    <mergeCell ref="B12:D12"/>
    <mergeCell ref="G12:I12"/>
    <mergeCell ref="L12:Q12"/>
  </mergeCells>
  <conditionalFormatting sqref="L31:L60">
    <cfRule type="containsText" dxfId="4" priority="1" operator="containsText" text="Pass"/>
    <cfRule type="containsText" dxfId="3" priority="2" operator="containsText" text="Fail"/>
    <cfRule type="containsText" dxfId="2" priority="3" operator="containsText" text="Invalid"/>
  </conditionalFormatting>
  <dataValidations count="4">
    <dataValidation type="list" sqref="C31:C60" xr:uid="{00000000-0002-0000-0500-000000000000}">
      <formula1>"Owner detection,Presence,Inactivity,Nudge,Text/LLM,Speech input,TTS,Petoi action,Camera fault,Connection recovery,Persistence,Shutdown,Other"</formula1>
    </dataValidation>
    <dataValidation type="list" sqref="I31:J60" xr:uid="{00000000-0002-0000-0500-000001000000}">
      <formula1>"No,Yes"</formula1>
    </dataValidation>
    <dataValidation type="list" sqref="L31:L60" xr:uid="{00000000-0002-0000-0500-000003000000}">
      <formula1>"Pass,Fail,Invalid"</formula1>
    </dataValidation>
    <dataValidation type="list" sqref="M31:M60" xr:uid="{00000000-0002-0000-0500-000004000000}">
      <formula1>"Yes,No,Not required"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Q70"/>
  <sheetViews>
    <sheetView showGridLines="0" tabSelected="1" workbookViewId="0"/>
  </sheetViews>
  <sheetFormatPr defaultRowHeight="13.5"/>
  <cols>
    <col min="1" max="1" width="17" customWidth="1"/>
    <col min="2" max="2" width="12" customWidth="1"/>
    <col min="3" max="3" width="15" customWidth="1"/>
    <col min="4" max="4" width="12" customWidth="1"/>
    <col min="5" max="5" width="17" customWidth="1"/>
    <col min="6" max="6" width="18" customWidth="1"/>
    <col min="7" max="7" width="13" customWidth="1"/>
    <col min="8" max="10" width="16" customWidth="1"/>
    <col min="11" max="11" width="17" customWidth="1"/>
    <col min="12" max="12" width="12" customWidth="1"/>
    <col min="13" max="14" width="17" customWidth="1"/>
    <col min="15" max="16" width="28" customWidth="1"/>
    <col min="17" max="17" width="30" customWidth="1"/>
  </cols>
  <sheetData>
    <row r="1" spans="1:17" ht="8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5.05" customHeight="1">
      <c r="A2" s="1" t="s">
        <v>390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22.05" customHeight="1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31.05" customHeight="1">
      <c r="A6" s="6" t="s">
        <v>3</v>
      </c>
      <c r="B6" s="26" t="s">
        <v>391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ht="31.05" customHeight="1">
      <c r="A7" s="6" t="s">
        <v>5</v>
      </c>
      <c r="B7" s="26" t="s">
        <v>392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ht="31.05" customHeight="1">
      <c r="A8" s="6" t="s">
        <v>7</v>
      </c>
      <c r="B8" s="26" t="s">
        <v>393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ht="38" customHeight="1">
      <c r="A9" s="6" t="s">
        <v>9</v>
      </c>
      <c r="B9" s="26" t="s">
        <v>394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ht="8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22.05" customHeight="1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 ht="29" customHeight="1">
      <c r="A12" s="7" t="s">
        <v>12</v>
      </c>
      <c r="B12" s="29" t="s">
        <v>13</v>
      </c>
      <c r="C12" s="30"/>
      <c r="D12" s="31"/>
      <c r="E12" s="22"/>
      <c r="F12" s="7" t="s">
        <v>14</v>
      </c>
      <c r="G12" s="29" t="s">
        <v>15</v>
      </c>
      <c r="H12" s="30"/>
      <c r="I12" s="31"/>
      <c r="J12" s="22"/>
      <c r="K12" s="7" t="s">
        <v>395</v>
      </c>
      <c r="L12" s="29" t="s">
        <v>396</v>
      </c>
      <c r="M12" s="30"/>
      <c r="N12" s="30"/>
      <c r="O12" s="30"/>
      <c r="P12" s="30"/>
      <c r="Q12" s="31"/>
    </row>
    <row r="13" spans="1:17" ht="29" customHeight="1">
      <c r="A13" s="7" t="s">
        <v>397</v>
      </c>
      <c r="B13" s="29" t="s">
        <v>398</v>
      </c>
      <c r="C13" s="30"/>
      <c r="D13" s="31"/>
      <c r="E13" s="22"/>
      <c r="F13" s="7" t="s">
        <v>399</v>
      </c>
      <c r="G13" s="29" t="s">
        <v>400</v>
      </c>
      <c r="H13" s="30"/>
      <c r="I13" s="31"/>
      <c r="J13" s="22"/>
      <c r="K13" s="7" t="s">
        <v>401</v>
      </c>
      <c r="L13" s="29" t="s">
        <v>402</v>
      </c>
      <c r="M13" s="30"/>
      <c r="N13" s="30"/>
      <c r="O13" s="30"/>
      <c r="P13" s="30"/>
      <c r="Q13" s="31"/>
    </row>
    <row r="14" spans="1:17" ht="29" customHeight="1">
      <c r="A14" s="7" t="s">
        <v>403</v>
      </c>
      <c r="B14" s="29"/>
      <c r="C14" s="30"/>
      <c r="D14" s="31"/>
      <c r="E14" s="22"/>
      <c r="F14" s="7" t="s">
        <v>23</v>
      </c>
      <c r="G14" s="29"/>
      <c r="H14" s="30"/>
      <c r="I14" s="31"/>
      <c r="J14" s="22"/>
      <c r="K14" s="7" t="s">
        <v>404</v>
      </c>
      <c r="L14" s="29" t="s">
        <v>405</v>
      </c>
      <c r="M14" s="30"/>
      <c r="N14" s="30"/>
      <c r="O14" s="30"/>
      <c r="P14" s="30"/>
      <c r="Q14" s="31"/>
    </row>
    <row r="15" spans="1:17" ht="8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22.05" customHeight="1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 ht="28.05" customHeight="1">
      <c r="A17" s="8">
        <v>1</v>
      </c>
      <c r="B17" s="26" t="s">
        <v>406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1:17" ht="28.05" customHeight="1">
      <c r="A18" s="8">
        <v>2</v>
      </c>
      <c r="B18" s="26" t="s">
        <v>407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1:17" ht="28.05" customHeight="1">
      <c r="A19" s="8">
        <v>3</v>
      </c>
      <c r="B19" s="26" t="s">
        <v>408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28.05" customHeight="1">
      <c r="A20" s="8">
        <v>4</v>
      </c>
      <c r="B20" s="26" t="s">
        <v>409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8.05" customHeight="1">
      <c r="A21" s="8">
        <v>5</v>
      </c>
      <c r="B21" s="26" t="s">
        <v>410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1:17" ht="8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22.05" customHeight="1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</row>
    <row r="24" spans="1:17" ht="30" customHeight="1">
      <c r="A24" s="7" t="s">
        <v>29</v>
      </c>
      <c r="B24" s="9">
        <f>COUNT(D31:D70)</f>
        <v>0</v>
      </c>
      <c r="C24" s="22"/>
      <c r="D24" s="7" t="s">
        <v>411</v>
      </c>
      <c r="E24" s="10" t="str">
        <f>IF(COUNT(D31:D70)=0,"n.a.",SUM(D31:D70)/60)</f>
        <v>n.a.</v>
      </c>
      <c r="F24" s="22"/>
      <c r="G24" s="7" t="s">
        <v>412</v>
      </c>
      <c r="H24" s="9" t="str">
        <f>IF(COUNT(L31:L70)=0,"n.a.",SUM(L31:L70))</f>
        <v>n.a.</v>
      </c>
      <c r="I24" s="22"/>
      <c r="J24" s="7" t="s">
        <v>413</v>
      </c>
      <c r="K24" s="10" t="str">
        <f>IF(SUM(D31:D70)=0,"n.a.",SUM(L31:L70)/(SUM(D31:D70)/60))</f>
        <v>n.a.</v>
      </c>
      <c r="L24" s="22"/>
      <c r="M24" s="32" t="s">
        <v>33</v>
      </c>
      <c r="N24" s="33"/>
      <c r="O24" s="33"/>
      <c r="P24" s="33"/>
      <c r="Q24" s="34"/>
    </row>
    <row r="25" spans="1:17" ht="30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5"/>
      <c r="N25" s="36"/>
      <c r="O25" s="36"/>
      <c r="P25" s="36"/>
      <c r="Q25" s="37"/>
    </row>
    <row r="26" spans="1:17" ht="30" customHeight="1">
      <c r="A26" s="7" t="s">
        <v>414</v>
      </c>
      <c r="B26" s="11" t="str">
        <f>IF(COUNT(D31:D70)=0,"n.a.",COUNTIFS(D31:D70,"&gt;0",L31:L70,0)/COUNT(D31:D70))</f>
        <v>n.a.</v>
      </c>
      <c r="C26" s="22"/>
      <c r="D26" s="7" t="s">
        <v>415</v>
      </c>
      <c r="E26" s="9">
        <f>COUNTIFS(N31:N70,"Aborted")</f>
        <v>0</v>
      </c>
      <c r="F26" s="22"/>
      <c r="G26" s="22"/>
      <c r="H26" s="22"/>
      <c r="I26" s="22"/>
      <c r="J26" s="22"/>
      <c r="K26" s="22"/>
      <c r="L26" s="22"/>
      <c r="M26" s="38"/>
      <c r="N26" s="39"/>
      <c r="O26" s="39"/>
      <c r="P26" s="39"/>
      <c r="Q26" s="40"/>
    </row>
    <row r="27" spans="1:17" ht="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8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22.05" customHeight="1">
      <c r="A29" s="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42" customHeight="1">
      <c r="A30" s="12" t="s">
        <v>37</v>
      </c>
      <c r="B30" s="12" t="s">
        <v>38</v>
      </c>
      <c r="C30" s="12" t="s">
        <v>39</v>
      </c>
      <c r="D30" s="12" t="s">
        <v>44</v>
      </c>
      <c r="E30" s="12" t="s">
        <v>416</v>
      </c>
      <c r="F30" s="12" t="s">
        <v>417</v>
      </c>
      <c r="G30" s="12" t="s">
        <v>418</v>
      </c>
      <c r="H30" s="12" t="s">
        <v>419</v>
      </c>
      <c r="I30" s="12" t="s">
        <v>420</v>
      </c>
      <c r="J30" s="12" t="s">
        <v>421</v>
      </c>
      <c r="K30" s="12" t="s">
        <v>422</v>
      </c>
      <c r="L30" s="12" t="s">
        <v>412</v>
      </c>
      <c r="M30" s="12" t="s">
        <v>423</v>
      </c>
      <c r="N30" s="12" t="s">
        <v>424</v>
      </c>
      <c r="O30" s="12" t="s">
        <v>425</v>
      </c>
      <c r="P30" s="12" t="s">
        <v>426</v>
      </c>
      <c r="Q30" s="12" t="s">
        <v>427</v>
      </c>
    </row>
    <row r="31" spans="1:17" ht="24" customHeight="1">
      <c r="A31" s="13" t="s">
        <v>428</v>
      </c>
      <c r="B31" s="14"/>
      <c r="C31" s="13"/>
      <c r="D31" s="17"/>
      <c r="E31" s="13"/>
      <c r="F31" s="15"/>
      <c r="G31" s="16"/>
      <c r="H31" s="16"/>
      <c r="I31" s="16"/>
      <c r="J31" s="16"/>
      <c r="K31" s="16"/>
      <c r="L31" s="25" t="str">
        <f t="shared" ref="L31:L70" si="0">IF(COUNT(D31)=0,"",SUM(G31:K31))</f>
        <v/>
      </c>
      <c r="M31" s="17"/>
      <c r="N31" s="13"/>
      <c r="O31" s="15"/>
      <c r="P31" s="15"/>
      <c r="Q31" s="15"/>
    </row>
    <row r="32" spans="1:17" ht="24" customHeight="1">
      <c r="A32" s="13" t="s">
        <v>429</v>
      </c>
      <c r="B32" s="14"/>
      <c r="C32" s="13"/>
      <c r="D32" s="17"/>
      <c r="E32" s="13"/>
      <c r="F32" s="15"/>
      <c r="G32" s="16"/>
      <c r="H32" s="16"/>
      <c r="I32" s="16"/>
      <c r="J32" s="16"/>
      <c r="K32" s="16"/>
      <c r="L32" s="25" t="str">
        <f t="shared" si="0"/>
        <v/>
      </c>
      <c r="M32" s="17"/>
      <c r="N32" s="13"/>
      <c r="O32" s="15"/>
      <c r="P32" s="15"/>
      <c r="Q32" s="15"/>
    </row>
    <row r="33" spans="1:17" ht="24" customHeight="1">
      <c r="A33" s="13" t="s">
        <v>430</v>
      </c>
      <c r="B33" s="14"/>
      <c r="C33" s="13"/>
      <c r="D33" s="17"/>
      <c r="E33" s="13"/>
      <c r="F33" s="15"/>
      <c r="G33" s="16"/>
      <c r="H33" s="16"/>
      <c r="I33" s="16"/>
      <c r="J33" s="16"/>
      <c r="K33" s="16"/>
      <c r="L33" s="25" t="str">
        <f t="shared" si="0"/>
        <v/>
      </c>
      <c r="M33" s="17"/>
      <c r="N33" s="13"/>
      <c r="O33" s="15"/>
      <c r="P33" s="15"/>
      <c r="Q33" s="15"/>
    </row>
    <row r="34" spans="1:17" ht="24" customHeight="1">
      <c r="A34" s="13" t="s">
        <v>431</v>
      </c>
      <c r="B34" s="14"/>
      <c r="C34" s="13"/>
      <c r="D34" s="17"/>
      <c r="E34" s="13"/>
      <c r="F34" s="15"/>
      <c r="G34" s="16"/>
      <c r="H34" s="16"/>
      <c r="I34" s="16"/>
      <c r="J34" s="16"/>
      <c r="K34" s="16"/>
      <c r="L34" s="25" t="str">
        <f t="shared" si="0"/>
        <v/>
      </c>
      <c r="M34" s="17"/>
      <c r="N34" s="13"/>
      <c r="O34" s="15"/>
      <c r="P34" s="15"/>
      <c r="Q34" s="15"/>
    </row>
    <row r="35" spans="1:17" ht="24" customHeight="1">
      <c r="A35" s="13" t="s">
        <v>432</v>
      </c>
      <c r="B35" s="14"/>
      <c r="C35" s="13"/>
      <c r="D35" s="17"/>
      <c r="E35" s="13"/>
      <c r="F35" s="15"/>
      <c r="G35" s="16"/>
      <c r="H35" s="16"/>
      <c r="I35" s="16"/>
      <c r="J35" s="16"/>
      <c r="K35" s="16"/>
      <c r="L35" s="25" t="str">
        <f t="shared" si="0"/>
        <v/>
      </c>
      <c r="M35" s="17"/>
      <c r="N35" s="13"/>
      <c r="O35" s="15"/>
      <c r="P35" s="15"/>
      <c r="Q35" s="15"/>
    </row>
    <row r="36" spans="1:17" ht="24" customHeight="1">
      <c r="A36" s="13" t="s">
        <v>433</v>
      </c>
      <c r="B36" s="14"/>
      <c r="C36" s="13"/>
      <c r="D36" s="17"/>
      <c r="E36" s="13"/>
      <c r="F36" s="15"/>
      <c r="G36" s="16"/>
      <c r="H36" s="16"/>
      <c r="I36" s="16"/>
      <c r="J36" s="16"/>
      <c r="K36" s="16"/>
      <c r="L36" s="25" t="str">
        <f t="shared" si="0"/>
        <v/>
      </c>
      <c r="M36" s="17"/>
      <c r="N36" s="13"/>
      <c r="O36" s="15"/>
      <c r="P36" s="15"/>
      <c r="Q36" s="15"/>
    </row>
    <row r="37" spans="1:17" ht="24" customHeight="1">
      <c r="A37" s="13" t="s">
        <v>434</v>
      </c>
      <c r="B37" s="14"/>
      <c r="C37" s="13"/>
      <c r="D37" s="17"/>
      <c r="E37" s="13"/>
      <c r="F37" s="15"/>
      <c r="G37" s="16"/>
      <c r="H37" s="16"/>
      <c r="I37" s="16"/>
      <c r="J37" s="16"/>
      <c r="K37" s="16"/>
      <c r="L37" s="25" t="str">
        <f t="shared" si="0"/>
        <v/>
      </c>
      <c r="M37" s="17"/>
      <c r="N37" s="13"/>
      <c r="O37" s="15"/>
      <c r="P37" s="15"/>
      <c r="Q37" s="15"/>
    </row>
    <row r="38" spans="1:17" ht="24" customHeight="1">
      <c r="A38" s="13" t="s">
        <v>435</v>
      </c>
      <c r="B38" s="14"/>
      <c r="C38" s="13"/>
      <c r="D38" s="17"/>
      <c r="E38" s="13"/>
      <c r="F38" s="15"/>
      <c r="G38" s="16"/>
      <c r="H38" s="16"/>
      <c r="I38" s="16"/>
      <c r="J38" s="16"/>
      <c r="K38" s="16"/>
      <c r="L38" s="25" t="str">
        <f t="shared" si="0"/>
        <v/>
      </c>
      <c r="M38" s="17"/>
      <c r="N38" s="13"/>
      <c r="O38" s="15"/>
      <c r="P38" s="15"/>
      <c r="Q38" s="15"/>
    </row>
    <row r="39" spans="1:17" ht="24" customHeight="1">
      <c r="A39" s="13" t="s">
        <v>436</v>
      </c>
      <c r="B39" s="14"/>
      <c r="C39" s="13"/>
      <c r="D39" s="17"/>
      <c r="E39" s="13"/>
      <c r="F39" s="15"/>
      <c r="G39" s="16"/>
      <c r="H39" s="16"/>
      <c r="I39" s="16"/>
      <c r="J39" s="16"/>
      <c r="K39" s="16"/>
      <c r="L39" s="25" t="str">
        <f t="shared" si="0"/>
        <v/>
      </c>
      <c r="M39" s="17"/>
      <c r="N39" s="13"/>
      <c r="O39" s="15"/>
      <c r="P39" s="15"/>
      <c r="Q39" s="15"/>
    </row>
    <row r="40" spans="1:17" ht="24" customHeight="1">
      <c r="A40" s="13" t="s">
        <v>437</v>
      </c>
      <c r="B40" s="14"/>
      <c r="C40" s="13"/>
      <c r="D40" s="17"/>
      <c r="E40" s="13"/>
      <c r="F40" s="15"/>
      <c r="G40" s="16"/>
      <c r="H40" s="16"/>
      <c r="I40" s="16"/>
      <c r="J40" s="16"/>
      <c r="K40" s="16"/>
      <c r="L40" s="25" t="str">
        <f t="shared" si="0"/>
        <v/>
      </c>
      <c r="M40" s="17"/>
      <c r="N40" s="13"/>
      <c r="O40" s="15"/>
      <c r="P40" s="15"/>
      <c r="Q40" s="15"/>
    </row>
    <row r="41" spans="1:17" ht="24" customHeight="1">
      <c r="A41" s="13" t="s">
        <v>438</v>
      </c>
      <c r="B41" s="14"/>
      <c r="C41" s="13"/>
      <c r="D41" s="17"/>
      <c r="E41" s="13"/>
      <c r="F41" s="15"/>
      <c r="G41" s="16"/>
      <c r="H41" s="16"/>
      <c r="I41" s="16"/>
      <c r="J41" s="16"/>
      <c r="K41" s="16"/>
      <c r="L41" s="25" t="str">
        <f t="shared" si="0"/>
        <v/>
      </c>
      <c r="M41" s="17"/>
      <c r="N41" s="13"/>
      <c r="O41" s="15"/>
      <c r="P41" s="15"/>
      <c r="Q41" s="15"/>
    </row>
    <row r="42" spans="1:17" ht="24" customHeight="1">
      <c r="A42" s="13" t="s">
        <v>439</v>
      </c>
      <c r="B42" s="14"/>
      <c r="C42" s="13"/>
      <c r="D42" s="17"/>
      <c r="E42" s="13"/>
      <c r="F42" s="15"/>
      <c r="G42" s="16"/>
      <c r="H42" s="16"/>
      <c r="I42" s="16"/>
      <c r="J42" s="16"/>
      <c r="K42" s="16"/>
      <c r="L42" s="25" t="str">
        <f t="shared" si="0"/>
        <v/>
      </c>
      <c r="M42" s="17"/>
      <c r="N42" s="13"/>
      <c r="O42" s="15"/>
      <c r="P42" s="15"/>
      <c r="Q42" s="15"/>
    </row>
    <row r="43" spans="1:17" ht="24" customHeight="1">
      <c r="A43" s="13" t="s">
        <v>440</v>
      </c>
      <c r="B43" s="14"/>
      <c r="C43" s="13"/>
      <c r="D43" s="17"/>
      <c r="E43" s="13"/>
      <c r="F43" s="15"/>
      <c r="G43" s="16"/>
      <c r="H43" s="16"/>
      <c r="I43" s="16"/>
      <c r="J43" s="16"/>
      <c r="K43" s="16"/>
      <c r="L43" s="25" t="str">
        <f t="shared" si="0"/>
        <v/>
      </c>
      <c r="M43" s="17"/>
      <c r="N43" s="13"/>
      <c r="O43" s="15"/>
      <c r="P43" s="15"/>
      <c r="Q43" s="15"/>
    </row>
    <row r="44" spans="1:17" ht="24" customHeight="1">
      <c r="A44" s="13" t="s">
        <v>441</v>
      </c>
      <c r="B44" s="14"/>
      <c r="C44" s="13"/>
      <c r="D44" s="17"/>
      <c r="E44" s="13"/>
      <c r="F44" s="15"/>
      <c r="G44" s="16"/>
      <c r="H44" s="16"/>
      <c r="I44" s="16"/>
      <c r="J44" s="16"/>
      <c r="K44" s="16"/>
      <c r="L44" s="25" t="str">
        <f t="shared" si="0"/>
        <v/>
      </c>
      <c r="M44" s="17"/>
      <c r="N44" s="13"/>
      <c r="O44" s="15"/>
      <c r="P44" s="15"/>
      <c r="Q44" s="15"/>
    </row>
    <row r="45" spans="1:17" ht="24" customHeight="1">
      <c r="A45" s="13" t="s">
        <v>442</v>
      </c>
      <c r="B45" s="14"/>
      <c r="C45" s="13"/>
      <c r="D45" s="17"/>
      <c r="E45" s="13"/>
      <c r="F45" s="15"/>
      <c r="G45" s="16"/>
      <c r="H45" s="16"/>
      <c r="I45" s="16"/>
      <c r="J45" s="16"/>
      <c r="K45" s="16"/>
      <c r="L45" s="25" t="str">
        <f t="shared" si="0"/>
        <v/>
      </c>
      <c r="M45" s="17"/>
      <c r="N45" s="13"/>
      <c r="O45" s="15"/>
      <c r="P45" s="15"/>
      <c r="Q45" s="15"/>
    </row>
    <row r="46" spans="1:17" ht="24" customHeight="1">
      <c r="A46" s="13" t="s">
        <v>443</v>
      </c>
      <c r="B46" s="14"/>
      <c r="C46" s="13"/>
      <c r="D46" s="17"/>
      <c r="E46" s="13"/>
      <c r="F46" s="15"/>
      <c r="G46" s="16"/>
      <c r="H46" s="16"/>
      <c r="I46" s="16"/>
      <c r="J46" s="16"/>
      <c r="K46" s="16"/>
      <c r="L46" s="25" t="str">
        <f t="shared" si="0"/>
        <v/>
      </c>
      <c r="M46" s="17"/>
      <c r="N46" s="13"/>
      <c r="O46" s="15"/>
      <c r="P46" s="15"/>
      <c r="Q46" s="15"/>
    </row>
    <row r="47" spans="1:17" ht="24" customHeight="1">
      <c r="A47" s="13" t="s">
        <v>444</v>
      </c>
      <c r="B47" s="14"/>
      <c r="C47" s="13"/>
      <c r="D47" s="17"/>
      <c r="E47" s="13"/>
      <c r="F47" s="15"/>
      <c r="G47" s="16"/>
      <c r="H47" s="16"/>
      <c r="I47" s="16"/>
      <c r="J47" s="16"/>
      <c r="K47" s="16"/>
      <c r="L47" s="25" t="str">
        <f t="shared" si="0"/>
        <v/>
      </c>
      <c r="M47" s="17"/>
      <c r="N47" s="13"/>
      <c r="O47" s="15"/>
      <c r="P47" s="15"/>
      <c r="Q47" s="15"/>
    </row>
    <row r="48" spans="1:17" ht="24" customHeight="1">
      <c r="A48" s="13" t="s">
        <v>445</v>
      </c>
      <c r="B48" s="14"/>
      <c r="C48" s="13"/>
      <c r="D48" s="17"/>
      <c r="E48" s="13"/>
      <c r="F48" s="15"/>
      <c r="G48" s="16"/>
      <c r="H48" s="16"/>
      <c r="I48" s="16"/>
      <c r="J48" s="16"/>
      <c r="K48" s="16"/>
      <c r="L48" s="25" t="str">
        <f t="shared" si="0"/>
        <v/>
      </c>
      <c r="M48" s="17"/>
      <c r="N48" s="13"/>
      <c r="O48" s="15"/>
      <c r="P48" s="15"/>
      <c r="Q48" s="15"/>
    </row>
    <row r="49" spans="1:17" ht="24" customHeight="1">
      <c r="A49" s="13" t="s">
        <v>446</v>
      </c>
      <c r="B49" s="14"/>
      <c r="C49" s="13"/>
      <c r="D49" s="17"/>
      <c r="E49" s="13"/>
      <c r="F49" s="15"/>
      <c r="G49" s="16"/>
      <c r="H49" s="16"/>
      <c r="I49" s="16"/>
      <c r="J49" s="16"/>
      <c r="K49" s="16"/>
      <c r="L49" s="25" t="str">
        <f t="shared" si="0"/>
        <v/>
      </c>
      <c r="M49" s="17"/>
      <c r="N49" s="13"/>
      <c r="O49" s="15"/>
      <c r="P49" s="15"/>
      <c r="Q49" s="15"/>
    </row>
    <row r="50" spans="1:17" ht="24" customHeight="1">
      <c r="A50" s="13" t="s">
        <v>447</v>
      </c>
      <c r="B50" s="14"/>
      <c r="C50" s="13"/>
      <c r="D50" s="17"/>
      <c r="E50" s="13"/>
      <c r="F50" s="15"/>
      <c r="G50" s="16"/>
      <c r="H50" s="16"/>
      <c r="I50" s="16"/>
      <c r="J50" s="16"/>
      <c r="K50" s="16"/>
      <c r="L50" s="25" t="str">
        <f t="shared" si="0"/>
        <v/>
      </c>
      <c r="M50" s="17"/>
      <c r="N50" s="13"/>
      <c r="O50" s="15"/>
      <c r="P50" s="15"/>
      <c r="Q50" s="15"/>
    </row>
    <row r="51" spans="1:17" ht="24" customHeight="1">
      <c r="A51" s="13" t="s">
        <v>448</v>
      </c>
      <c r="B51" s="14"/>
      <c r="C51" s="13"/>
      <c r="D51" s="17"/>
      <c r="E51" s="13"/>
      <c r="F51" s="15"/>
      <c r="G51" s="16"/>
      <c r="H51" s="16"/>
      <c r="I51" s="16"/>
      <c r="J51" s="16"/>
      <c r="K51" s="16"/>
      <c r="L51" s="25" t="str">
        <f t="shared" si="0"/>
        <v/>
      </c>
      <c r="M51" s="17"/>
      <c r="N51" s="13"/>
      <c r="O51" s="15"/>
      <c r="P51" s="15"/>
      <c r="Q51" s="15"/>
    </row>
    <row r="52" spans="1:17" ht="24" customHeight="1">
      <c r="A52" s="13" t="s">
        <v>449</v>
      </c>
      <c r="B52" s="14"/>
      <c r="C52" s="13"/>
      <c r="D52" s="17"/>
      <c r="E52" s="13"/>
      <c r="F52" s="15"/>
      <c r="G52" s="16"/>
      <c r="H52" s="16"/>
      <c r="I52" s="16"/>
      <c r="J52" s="16"/>
      <c r="K52" s="16"/>
      <c r="L52" s="25" t="str">
        <f t="shared" si="0"/>
        <v/>
      </c>
      <c r="M52" s="17"/>
      <c r="N52" s="13"/>
      <c r="O52" s="15"/>
      <c r="P52" s="15"/>
      <c r="Q52" s="15"/>
    </row>
    <row r="53" spans="1:17" ht="24" customHeight="1">
      <c r="A53" s="13" t="s">
        <v>450</v>
      </c>
      <c r="B53" s="14"/>
      <c r="C53" s="13"/>
      <c r="D53" s="17"/>
      <c r="E53" s="13"/>
      <c r="F53" s="15"/>
      <c r="G53" s="16"/>
      <c r="H53" s="16"/>
      <c r="I53" s="16"/>
      <c r="J53" s="16"/>
      <c r="K53" s="16"/>
      <c r="L53" s="25" t="str">
        <f t="shared" si="0"/>
        <v/>
      </c>
      <c r="M53" s="17"/>
      <c r="N53" s="13"/>
      <c r="O53" s="15"/>
      <c r="P53" s="15"/>
      <c r="Q53" s="15"/>
    </row>
    <row r="54" spans="1:17" ht="24" customHeight="1">
      <c r="A54" s="13" t="s">
        <v>451</v>
      </c>
      <c r="B54" s="14"/>
      <c r="C54" s="13"/>
      <c r="D54" s="17"/>
      <c r="E54" s="13"/>
      <c r="F54" s="15"/>
      <c r="G54" s="16"/>
      <c r="H54" s="16"/>
      <c r="I54" s="16"/>
      <c r="J54" s="16"/>
      <c r="K54" s="16"/>
      <c r="L54" s="25" t="str">
        <f t="shared" si="0"/>
        <v/>
      </c>
      <c r="M54" s="17"/>
      <c r="N54" s="13"/>
      <c r="O54" s="15"/>
      <c r="P54" s="15"/>
      <c r="Q54" s="15"/>
    </row>
    <row r="55" spans="1:17" ht="24" customHeight="1">
      <c r="A55" s="13" t="s">
        <v>452</v>
      </c>
      <c r="B55" s="14"/>
      <c r="C55" s="13"/>
      <c r="D55" s="17"/>
      <c r="E55" s="13"/>
      <c r="F55" s="15"/>
      <c r="G55" s="16"/>
      <c r="H55" s="16"/>
      <c r="I55" s="16"/>
      <c r="J55" s="16"/>
      <c r="K55" s="16"/>
      <c r="L55" s="25" t="str">
        <f t="shared" si="0"/>
        <v/>
      </c>
      <c r="M55" s="17"/>
      <c r="N55" s="13"/>
      <c r="O55" s="15"/>
      <c r="P55" s="15"/>
      <c r="Q55" s="15"/>
    </row>
    <row r="56" spans="1:17" ht="24" customHeight="1">
      <c r="A56" s="13" t="s">
        <v>453</v>
      </c>
      <c r="B56" s="14"/>
      <c r="C56" s="13"/>
      <c r="D56" s="17"/>
      <c r="E56" s="13"/>
      <c r="F56" s="15"/>
      <c r="G56" s="16"/>
      <c r="H56" s="16"/>
      <c r="I56" s="16"/>
      <c r="J56" s="16"/>
      <c r="K56" s="16"/>
      <c r="L56" s="25" t="str">
        <f t="shared" si="0"/>
        <v/>
      </c>
      <c r="M56" s="17"/>
      <c r="N56" s="13"/>
      <c r="O56" s="15"/>
      <c r="P56" s="15"/>
      <c r="Q56" s="15"/>
    </row>
    <row r="57" spans="1:17" ht="24" customHeight="1">
      <c r="A57" s="13" t="s">
        <v>454</v>
      </c>
      <c r="B57" s="14"/>
      <c r="C57" s="13"/>
      <c r="D57" s="17"/>
      <c r="E57" s="13"/>
      <c r="F57" s="15"/>
      <c r="G57" s="16"/>
      <c r="H57" s="16"/>
      <c r="I57" s="16"/>
      <c r="J57" s="16"/>
      <c r="K57" s="16"/>
      <c r="L57" s="25" t="str">
        <f t="shared" si="0"/>
        <v/>
      </c>
      <c r="M57" s="17"/>
      <c r="N57" s="13"/>
      <c r="O57" s="15"/>
      <c r="P57" s="15"/>
      <c r="Q57" s="15"/>
    </row>
    <row r="58" spans="1:17" ht="24" customHeight="1">
      <c r="A58" s="13" t="s">
        <v>455</v>
      </c>
      <c r="B58" s="14"/>
      <c r="C58" s="13"/>
      <c r="D58" s="17"/>
      <c r="E58" s="13"/>
      <c r="F58" s="15"/>
      <c r="G58" s="16"/>
      <c r="H58" s="16"/>
      <c r="I58" s="16"/>
      <c r="J58" s="16"/>
      <c r="K58" s="16"/>
      <c r="L58" s="25" t="str">
        <f t="shared" si="0"/>
        <v/>
      </c>
      <c r="M58" s="17"/>
      <c r="N58" s="13"/>
      <c r="O58" s="15"/>
      <c r="P58" s="15"/>
      <c r="Q58" s="15"/>
    </row>
    <row r="59" spans="1:17" ht="24" customHeight="1">
      <c r="A59" s="13" t="s">
        <v>456</v>
      </c>
      <c r="B59" s="14"/>
      <c r="C59" s="13"/>
      <c r="D59" s="17"/>
      <c r="E59" s="13"/>
      <c r="F59" s="15"/>
      <c r="G59" s="16"/>
      <c r="H59" s="16"/>
      <c r="I59" s="16"/>
      <c r="J59" s="16"/>
      <c r="K59" s="16"/>
      <c r="L59" s="25" t="str">
        <f t="shared" si="0"/>
        <v/>
      </c>
      <c r="M59" s="17"/>
      <c r="N59" s="13"/>
      <c r="O59" s="15"/>
      <c r="P59" s="15"/>
      <c r="Q59" s="15"/>
    </row>
    <row r="60" spans="1:17" ht="24" customHeight="1">
      <c r="A60" s="13" t="s">
        <v>457</v>
      </c>
      <c r="B60" s="14"/>
      <c r="C60" s="13"/>
      <c r="D60" s="17"/>
      <c r="E60" s="13"/>
      <c r="F60" s="15"/>
      <c r="G60" s="16"/>
      <c r="H60" s="16"/>
      <c r="I60" s="16"/>
      <c r="J60" s="16"/>
      <c r="K60" s="16"/>
      <c r="L60" s="25" t="str">
        <f t="shared" si="0"/>
        <v/>
      </c>
      <c r="M60" s="17"/>
      <c r="N60" s="13"/>
      <c r="O60" s="15"/>
      <c r="P60" s="15"/>
      <c r="Q60" s="15"/>
    </row>
    <row r="61" spans="1:17" ht="24" customHeight="1">
      <c r="A61" s="13" t="s">
        <v>458</v>
      </c>
      <c r="B61" s="14"/>
      <c r="C61" s="13"/>
      <c r="D61" s="17"/>
      <c r="E61" s="13"/>
      <c r="F61" s="15"/>
      <c r="G61" s="16"/>
      <c r="H61" s="16"/>
      <c r="I61" s="16"/>
      <c r="J61" s="16"/>
      <c r="K61" s="16"/>
      <c r="L61" s="25" t="str">
        <f t="shared" si="0"/>
        <v/>
      </c>
      <c r="M61" s="17"/>
      <c r="N61" s="13"/>
      <c r="O61" s="15"/>
      <c r="P61" s="15"/>
      <c r="Q61" s="15"/>
    </row>
    <row r="62" spans="1:17" ht="24" customHeight="1">
      <c r="A62" s="13" t="s">
        <v>459</v>
      </c>
      <c r="B62" s="14"/>
      <c r="C62" s="13"/>
      <c r="D62" s="17"/>
      <c r="E62" s="13"/>
      <c r="F62" s="15"/>
      <c r="G62" s="16"/>
      <c r="H62" s="16"/>
      <c r="I62" s="16"/>
      <c r="J62" s="16"/>
      <c r="K62" s="16"/>
      <c r="L62" s="25" t="str">
        <f t="shared" si="0"/>
        <v/>
      </c>
      <c r="M62" s="17"/>
      <c r="N62" s="13"/>
      <c r="O62" s="15"/>
      <c r="P62" s="15"/>
      <c r="Q62" s="15"/>
    </row>
    <row r="63" spans="1:17" ht="24" customHeight="1">
      <c r="A63" s="13" t="s">
        <v>460</v>
      </c>
      <c r="B63" s="14"/>
      <c r="C63" s="13"/>
      <c r="D63" s="17"/>
      <c r="E63" s="13"/>
      <c r="F63" s="15"/>
      <c r="G63" s="16"/>
      <c r="H63" s="16"/>
      <c r="I63" s="16"/>
      <c r="J63" s="16"/>
      <c r="K63" s="16"/>
      <c r="L63" s="25" t="str">
        <f t="shared" si="0"/>
        <v/>
      </c>
      <c r="M63" s="17"/>
      <c r="N63" s="13"/>
      <c r="O63" s="15"/>
      <c r="P63" s="15"/>
      <c r="Q63" s="15"/>
    </row>
    <row r="64" spans="1:17" ht="24" customHeight="1">
      <c r="A64" s="13" t="s">
        <v>461</v>
      </c>
      <c r="B64" s="14"/>
      <c r="C64" s="13"/>
      <c r="D64" s="17"/>
      <c r="E64" s="13"/>
      <c r="F64" s="15"/>
      <c r="G64" s="16"/>
      <c r="H64" s="16"/>
      <c r="I64" s="16"/>
      <c r="J64" s="16"/>
      <c r="K64" s="16"/>
      <c r="L64" s="25" t="str">
        <f t="shared" si="0"/>
        <v/>
      </c>
      <c r="M64" s="17"/>
      <c r="N64" s="13"/>
      <c r="O64" s="15"/>
      <c r="P64" s="15"/>
      <c r="Q64" s="15"/>
    </row>
    <row r="65" spans="1:17" ht="24" customHeight="1">
      <c r="A65" s="13" t="s">
        <v>462</v>
      </c>
      <c r="B65" s="14"/>
      <c r="C65" s="13"/>
      <c r="D65" s="17"/>
      <c r="E65" s="13"/>
      <c r="F65" s="15"/>
      <c r="G65" s="16"/>
      <c r="H65" s="16"/>
      <c r="I65" s="16"/>
      <c r="J65" s="16"/>
      <c r="K65" s="16"/>
      <c r="L65" s="25" t="str">
        <f t="shared" si="0"/>
        <v/>
      </c>
      <c r="M65" s="17"/>
      <c r="N65" s="13"/>
      <c r="O65" s="15"/>
      <c r="P65" s="15"/>
      <c r="Q65" s="15"/>
    </row>
    <row r="66" spans="1:17" ht="24" customHeight="1">
      <c r="A66" s="13" t="s">
        <v>463</v>
      </c>
      <c r="B66" s="14"/>
      <c r="C66" s="13"/>
      <c r="D66" s="17"/>
      <c r="E66" s="13"/>
      <c r="F66" s="15"/>
      <c r="G66" s="16"/>
      <c r="H66" s="16"/>
      <c r="I66" s="16"/>
      <c r="J66" s="16"/>
      <c r="K66" s="16"/>
      <c r="L66" s="25" t="str">
        <f t="shared" si="0"/>
        <v/>
      </c>
      <c r="M66" s="17"/>
      <c r="N66" s="13"/>
      <c r="O66" s="15"/>
      <c r="P66" s="15"/>
      <c r="Q66" s="15"/>
    </row>
    <row r="67" spans="1:17" ht="24" customHeight="1">
      <c r="A67" s="13" t="s">
        <v>464</v>
      </c>
      <c r="B67" s="14"/>
      <c r="C67" s="13"/>
      <c r="D67" s="17"/>
      <c r="E67" s="13"/>
      <c r="F67" s="15"/>
      <c r="G67" s="16"/>
      <c r="H67" s="16"/>
      <c r="I67" s="16"/>
      <c r="J67" s="16"/>
      <c r="K67" s="16"/>
      <c r="L67" s="25" t="str">
        <f t="shared" si="0"/>
        <v/>
      </c>
      <c r="M67" s="17"/>
      <c r="N67" s="13"/>
      <c r="O67" s="15"/>
      <c r="P67" s="15"/>
      <c r="Q67" s="15"/>
    </row>
    <row r="68" spans="1:17" ht="24" customHeight="1">
      <c r="A68" s="13" t="s">
        <v>465</v>
      </c>
      <c r="B68" s="14"/>
      <c r="C68" s="13"/>
      <c r="D68" s="17"/>
      <c r="E68" s="13"/>
      <c r="F68" s="15"/>
      <c r="G68" s="16"/>
      <c r="H68" s="16"/>
      <c r="I68" s="16"/>
      <c r="J68" s="16"/>
      <c r="K68" s="16"/>
      <c r="L68" s="25" t="str">
        <f t="shared" si="0"/>
        <v/>
      </c>
      <c r="M68" s="17"/>
      <c r="N68" s="13"/>
      <c r="O68" s="15"/>
      <c r="P68" s="15"/>
      <c r="Q68" s="15"/>
    </row>
    <row r="69" spans="1:17" ht="24" customHeight="1">
      <c r="A69" s="13" t="s">
        <v>466</v>
      </c>
      <c r="B69" s="14"/>
      <c r="C69" s="13"/>
      <c r="D69" s="17"/>
      <c r="E69" s="13"/>
      <c r="F69" s="15"/>
      <c r="G69" s="16"/>
      <c r="H69" s="16"/>
      <c r="I69" s="16"/>
      <c r="J69" s="16"/>
      <c r="K69" s="16"/>
      <c r="L69" s="25" t="str">
        <f t="shared" si="0"/>
        <v/>
      </c>
      <c r="M69" s="17"/>
      <c r="N69" s="13"/>
      <c r="O69" s="15"/>
      <c r="P69" s="15"/>
      <c r="Q69" s="15"/>
    </row>
    <row r="70" spans="1:17" ht="24" customHeight="1">
      <c r="A70" s="13" t="s">
        <v>467</v>
      </c>
      <c r="B70" s="14"/>
      <c r="C70" s="13"/>
      <c r="D70" s="17"/>
      <c r="E70" s="13"/>
      <c r="F70" s="15"/>
      <c r="G70" s="16"/>
      <c r="H70" s="16"/>
      <c r="I70" s="16"/>
      <c r="J70" s="16"/>
      <c r="K70" s="16"/>
      <c r="L70" s="25" t="str">
        <f t="shared" si="0"/>
        <v/>
      </c>
      <c r="M70" s="17"/>
      <c r="N70" s="13"/>
      <c r="O70" s="15"/>
      <c r="P70" s="15"/>
      <c r="Q70" s="15"/>
    </row>
  </sheetData>
  <mergeCells count="19">
    <mergeCell ref="M24:Q26"/>
    <mergeCell ref="B17:Q17"/>
    <mergeCell ref="B18:Q18"/>
    <mergeCell ref="B19:Q19"/>
    <mergeCell ref="B20:Q20"/>
    <mergeCell ref="B21:Q21"/>
    <mergeCell ref="B13:D13"/>
    <mergeCell ref="G13:I13"/>
    <mergeCell ref="L13:Q13"/>
    <mergeCell ref="B14:D14"/>
    <mergeCell ref="G14:I14"/>
    <mergeCell ref="L14:Q14"/>
    <mergeCell ref="B6:Q6"/>
    <mergeCell ref="B7:Q7"/>
    <mergeCell ref="B8:Q8"/>
    <mergeCell ref="B9:Q9"/>
    <mergeCell ref="B12:D12"/>
    <mergeCell ref="G12:I12"/>
    <mergeCell ref="L12:Q12"/>
  </mergeCells>
  <conditionalFormatting sqref="N31:N70">
    <cfRule type="containsText" dxfId="1" priority="1" operator="containsText" text="Completed with issues"/>
    <cfRule type="containsText" dxfId="0" priority="2" operator="containsText" text="Aborted"/>
  </conditionalFormatting>
  <dataValidations count="2">
    <dataValidation type="list" sqref="C31:C70" xr:uid="{00000000-0002-0000-0600-000000000000}">
      <formula1>"Development,Testing,Demo,Standby,Controlled"</formula1>
    </dataValidation>
    <dataValidation type="list" sqref="N31:N70" xr:uid="{00000000-0002-0000-0600-000001000000}">
      <formula1>"Completed,Completed with issues,Aborted,Invalid"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Battery Sessions</vt:lpstr>
      <vt:lpstr>Straight Walk</vt:lpstr>
      <vt:lpstr>Turning Accuracy</vt:lpstr>
      <vt:lpstr>Payload Capacity</vt:lpstr>
      <vt:lpstr>Line Following</vt:lpstr>
      <vt:lpstr>Desk Companion</vt:lpstr>
      <vt:lpstr>Reliability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Yashna Kumar</cp:lastModifiedBy>
  <dcterms:modified xsi:type="dcterms:W3CDTF">2026-09-21T19:35:31Z</dcterms:modified>
</cp:coreProperties>
</file>